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정우정\1. 연구과제 및 제안서 - 항공티켓에 이름 나와야함\종료과제 및 보류\2019년도 종료과제\K11380 2019 혁신실용화과제(2019.2.1-12.31), 1억-종료됨\과제기간 종료에 따른 최종보고서\"/>
    </mc:Choice>
  </mc:AlternateContent>
  <bookViews>
    <workbookView xWindow="0" yWindow="0" windowWidth="31890" windowHeight="15810" activeTab="1"/>
  </bookViews>
  <sheets>
    <sheet name="집행실적 대비표" sheetId="1" r:id="rId1"/>
    <sheet name="비목별 집행현황 양식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6" i="3" l="1"/>
  <c r="I166" i="3"/>
  <c r="J165" i="3"/>
  <c r="I16" i="1"/>
  <c r="I17" i="1"/>
  <c r="I18" i="1"/>
  <c r="I19" i="1"/>
  <c r="I20" i="1"/>
  <c r="I21" i="1"/>
  <c r="I22" i="1"/>
  <c r="I23" i="1"/>
  <c r="I24" i="1"/>
  <c r="I15" i="1"/>
  <c r="I165" i="3"/>
  <c r="H138" i="3"/>
  <c r="H165" i="3"/>
  <c r="H118" i="3"/>
  <c r="J107" i="3"/>
  <c r="J106" i="3"/>
  <c r="J118" i="3"/>
  <c r="H160" i="3"/>
  <c r="H161" i="3"/>
  <c r="H162" i="3"/>
  <c r="H163" i="3"/>
  <c r="H136" i="3"/>
  <c r="H137" i="3"/>
  <c r="H159" i="3"/>
  <c r="H158" i="3"/>
  <c r="H135" i="3"/>
  <c r="H134" i="3"/>
  <c r="I157" i="3"/>
  <c r="H157" i="3" s="1"/>
  <c r="I156" i="3"/>
  <c r="H156" i="3" s="1"/>
  <c r="I153" i="3"/>
  <c r="I155" i="3"/>
  <c r="I154" i="3"/>
  <c r="H154" i="3" s="1"/>
  <c r="H155" i="3"/>
  <c r="H133" i="3"/>
  <c r="H132" i="3"/>
  <c r="H131" i="3"/>
  <c r="H130" i="3"/>
  <c r="H152" i="3"/>
  <c r="H129" i="3"/>
  <c r="H127" i="3"/>
  <c r="H126" i="3"/>
  <c r="H151" i="3"/>
  <c r="H124" i="3"/>
  <c r="H123" i="3"/>
  <c r="H150" i="3"/>
  <c r="H149" i="3"/>
  <c r="H148" i="3"/>
  <c r="H147" i="3"/>
  <c r="H120" i="3"/>
  <c r="H145" i="3"/>
  <c r="H146" i="3"/>
  <c r="H144" i="3"/>
  <c r="H110" i="3"/>
  <c r="J109" i="3"/>
  <c r="H109" i="3" s="1"/>
  <c r="J108" i="3"/>
  <c r="H108" i="3" s="1"/>
  <c r="H107" i="3"/>
  <c r="H106" i="3"/>
  <c r="H105" i="3"/>
  <c r="H104" i="3"/>
  <c r="H103" i="3"/>
  <c r="H153" i="3" l="1"/>
  <c r="H117" i="3"/>
  <c r="I114" i="3"/>
  <c r="J113" i="3"/>
  <c r="H113" i="3" s="1"/>
  <c r="J112" i="3"/>
  <c r="H112" i="3" s="1"/>
  <c r="H116" i="3"/>
  <c r="I115" i="3"/>
  <c r="H115" i="3" s="1"/>
  <c r="H102" i="3"/>
  <c r="J101" i="3"/>
  <c r="H100" i="3"/>
  <c r="H99" i="3"/>
  <c r="H80" i="3"/>
  <c r="H77" i="3"/>
  <c r="H73" i="3"/>
  <c r="H75" i="3"/>
  <c r="H76" i="3"/>
  <c r="H91" i="3"/>
  <c r="H92" i="3"/>
  <c r="H95" i="3"/>
  <c r="H96" i="3"/>
  <c r="H74" i="3"/>
  <c r="H78" i="3"/>
  <c r="H79" i="3"/>
  <c r="H81" i="3"/>
  <c r="H82" i="3"/>
  <c r="H83" i="3"/>
  <c r="H84" i="3"/>
  <c r="H85" i="3"/>
  <c r="H87" i="3"/>
  <c r="H86" i="3"/>
  <c r="H88" i="3"/>
  <c r="H89" i="3"/>
  <c r="H90" i="3"/>
  <c r="H93" i="3"/>
  <c r="H94" i="3"/>
  <c r="H97" i="3"/>
  <c r="H98" i="3"/>
  <c r="H72" i="3"/>
  <c r="H71" i="3"/>
  <c r="H67" i="3"/>
  <c r="J68" i="3"/>
  <c r="H68" i="3" s="1"/>
  <c r="J66" i="3"/>
  <c r="H66" i="3" s="1"/>
  <c r="H69" i="3"/>
  <c r="H101" i="3" l="1"/>
  <c r="H114" i="3"/>
  <c r="I118" i="3"/>
  <c r="I70" i="3" l="1"/>
  <c r="J70" i="3"/>
  <c r="H70" i="3"/>
  <c r="H65" i="3"/>
  <c r="H166" i="3" s="1"/>
  <c r="H24" i="1" l="1"/>
  <c r="H16" i="1" l="1"/>
  <c r="H17" i="1"/>
  <c r="H18" i="1"/>
  <c r="H19" i="1"/>
  <c r="H20" i="1"/>
  <c r="H21" i="1"/>
  <c r="H22" i="1"/>
  <c r="H23" i="1"/>
  <c r="H15" i="1"/>
  <c r="F24" i="1"/>
  <c r="G23" i="1"/>
  <c r="G22" i="1"/>
  <c r="G21" i="1"/>
  <c r="G20" i="1"/>
  <c r="G19" i="1"/>
  <c r="G18" i="1"/>
  <c r="G17" i="1"/>
  <c r="G16" i="1"/>
  <c r="G15" i="1"/>
  <c r="E24" i="1"/>
  <c r="D24" i="1"/>
  <c r="E16" i="1" s="1"/>
  <c r="J65" i="3" l="1"/>
  <c r="I65" i="3"/>
  <c r="G24" i="1"/>
  <c r="E15" i="1" l="1"/>
  <c r="E21" i="1"/>
  <c r="E22" i="1"/>
  <c r="E17" i="1"/>
  <c r="E23" i="1"/>
  <c r="E19" i="1"/>
  <c r="E20" i="1"/>
  <c r="E18" i="1"/>
</calcChain>
</file>

<file path=xl/sharedStrings.xml><?xml version="1.0" encoding="utf-8"?>
<sst xmlns="http://schemas.openxmlformats.org/spreadsheetml/2006/main" count="866" uniqueCount="318">
  <si>
    <t>연구개발비 사용계획과 집행실적과의 대비표</t>
  </si>
  <si>
    <t xml:space="preserve">  </t>
  </si>
  <si>
    <t>과제명</t>
  </si>
  <si>
    <t>연구개발비</t>
  </si>
  <si>
    <t>연구기관</t>
  </si>
  <si>
    <t>광주과학기술원</t>
  </si>
  <si>
    <t>연구책임자</t>
  </si>
  <si>
    <t>연구기간</t>
  </si>
  <si>
    <t>구 분</t>
  </si>
  <si>
    <t>비 목</t>
  </si>
  <si>
    <t>당초계획</t>
  </si>
  <si>
    <t>사용금액</t>
  </si>
  <si>
    <t>증 감</t>
  </si>
  <si>
    <t>비고</t>
  </si>
  <si>
    <t>금액</t>
  </si>
  <si>
    <t>비율</t>
  </si>
  <si>
    <t>(%)</t>
  </si>
  <si>
    <t>직접비</t>
  </si>
  <si>
    <t>위탁연구개발비</t>
  </si>
  <si>
    <t>간접비</t>
  </si>
  <si>
    <t>간접경비</t>
  </si>
  <si>
    <t>연구실안전관리비</t>
  </si>
  <si>
    <t>집행내역</t>
  </si>
  <si>
    <t>집행금액</t>
  </si>
  <si>
    <t>집행일자</t>
    <phoneticPr fontId="2" type="noConversion"/>
  </si>
  <si>
    <t>비목</t>
    <phoneticPr fontId="2" type="noConversion"/>
  </si>
  <si>
    <t>세목</t>
    <phoneticPr fontId="2" type="noConversion"/>
  </si>
  <si>
    <t>집행방법</t>
    <phoneticPr fontId="2" type="noConversion"/>
  </si>
  <si>
    <t>사용처</t>
    <phoneticPr fontId="2" type="noConversion"/>
  </si>
  <si>
    <t>실집행금액</t>
    <phoneticPr fontId="2" type="noConversion"/>
  </si>
  <si>
    <t>공급가액</t>
    <phoneticPr fontId="2" type="noConversion"/>
  </si>
  <si>
    <t>부가세</t>
    <phoneticPr fontId="2" type="noConversion"/>
  </si>
  <si>
    <t>비고</t>
    <phoneticPr fontId="2" type="noConversion"/>
  </si>
  <si>
    <t>1. 집행내역</t>
    <phoneticPr fontId="2" type="noConversion"/>
  </si>
  <si>
    <t xml:space="preserve">[연구비정산] </t>
    <phoneticPr fontId="2" type="noConversion"/>
  </si>
  <si>
    <t>비목별 소계</t>
    <phoneticPr fontId="2" type="noConversion"/>
  </si>
  <si>
    <t>실사용일</t>
    <phoneticPr fontId="2" type="noConversion"/>
  </si>
  <si>
    <t>1. 연구과제 개요</t>
  </si>
  <si>
    <t>2. 연구개발비 사용계획과 집행실적과의 대비표</t>
  </si>
  <si>
    <t>(단위 : 원)</t>
  </si>
  <si>
    <t>- 인건비</t>
  </si>
  <si>
    <t>- 내부인건비</t>
  </si>
  <si>
    <t>- 외부인건비</t>
  </si>
  <si>
    <t>- 연구장비‧재료비</t>
  </si>
  <si>
    <t>- 연구활동비</t>
  </si>
  <si>
    <t>- 연구과제추진비</t>
  </si>
  <si>
    <t>- 연구수당</t>
  </si>
  <si>
    <t>연구비 총액(A)</t>
  </si>
  <si>
    <t>상기와 같이 연구개발비를 사용계획에 의거 사용하였음을 보고합니다.</t>
  </si>
  <si>
    <t>총 합계</t>
    <phoneticPr fontId="2" type="noConversion"/>
  </si>
  <si>
    <t>비목별 세부집행 내역서</t>
    <phoneticPr fontId="2" type="noConversion"/>
  </si>
  <si>
    <t>인건비</t>
    <phoneticPr fontId="2" type="noConversion"/>
  </si>
  <si>
    <r>
      <t>연구장비</t>
    </r>
    <r>
      <rPr>
        <sz val="9"/>
        <color theme="1"/>
        <rFont val="맑은 고딕"/>
        <family val="3"/>
        <charset val="129"/>
      </rPr>
      <t>∙재료비</t>
    </r>
    <phoneticPr fontId="2" type="noConversion"/>
  </si>
  <si>
    <t>연구활동비</t>
    <phoneticPr fontId="2" type="noConversion"/>
  </si>
  <si>
    <t>국외출장</t>
    <phoneticPr fontId="2" type="noConversion"/>
  </si>
  <si>
    <t>연구과제추진비</t>
    <phoneticPr fontId="2" type="noConversion"/>
  </si>
  <si>
    <t>외부인건비</t>
    <phoneticPr fontId="2" type="noConversion"/>
  </si>
  <si>
    <t xml:space="preserve">암호-부호 작업증명 (PoW) 비트코인/이더리움 하드포크 1.0 개발
 (Development of Error correction codes PoW and Bitcoin/Ethereum Hardfork 1.0)  </t>
    <phoneticPr fontId="2" type="noConversion"/>
  </si>
  <si>
    <t>100,000,000원</t>
    <phoneticPr fontId="2" type="noConversion"/>
  </si>
  <si>
    <t>이흥노 (인)</t>
    <phoneticPr fontId="2" type="noConversion"/>
  </si>
  <si>
    <t>2019.2.1 - 2019.12.31.</t>
    <phoneticPr fontId="2" type="noConversion"/>
  </si>
  <si>
    <t>2020 년  1 월    일</t>
    <phoneticPr fontId="2" type="noConversion"/>
  </si>
  <si>
    <t>계좌이체</t>
    <phoneticPr fontId="2" type="noConversion"/>
  </si>
  <si>
    <t>3월 / 정현준</t>
    <phoneticPr fontId="2" type="noConversion"/>
  </si>
  <si>
    <t>정현준</t>
    <phoneticPr fontId="2" type="noConversion"/>
  </si>
  <si>
    <t>3월 / 채종홍</t>
    <phoneticPr fontId="2" type="noConversion"/>
  </si>
  <si>
    <t>3월 / 김철순</t>
    <phoneticPr fontId="2" type="noConversion"/>
  </si>
  <si>
    <t>3월 / 최해웅</t>
    <phoneticPr fontId="2" type="noConversion"/>
  </si>
  <si>
    <t>3월 / 유찬유</t>
    <phoneticPr fontId="2" type="noConversion"/>
  </si>
  <si>
    <t>3월 / 김형성</t>
    <phoneticPr fontId="2" type="noConversion"/>
  </si>
  <si>
    <t>3월 / 김석주</t>
    <phoneticPr fontId="2" type="noConversion"/>
  </si>
  <si>
    <t>채종홍</t>
    <phoneticPr fontId="2" type="noConversion"/>
  </si>
  <si>
    <t>김철순</t>
  </si>
  <si>
    <t>최해웅</t>
  </si>
  <si>
    <t>김형성</t>
  </si>
  <si>
    <t>김석주</t>
  </si>
  <si>
    <t>김철순</t>
    <phoneticPr fontId="2" type="noConversion"/>
  </si>
  <si>
    <t>최해웅</t>
    <phoneticPr fontId="2" type="noConversion"/>
  </si>
  <si>
    <t>유찬유</t>
    <phoneticPr fontId="2" type="noConversion"/>
  </si>
  <si>
    <t>김형성</t>
    <phoneticPr fontId="2" type="noConversion"/>
  </si>
  <si>
    <t>김석주</t>
    <phoneticPr fontId="2" type="noConversion"/>
  </si>
  <si>
    <t>4월 / 정현준</t>
    <phoneticPr fontId="2" type="noConversion"/>
  </si>
  <si>
    <t>4월 / 채종홍</t>
    <phoneticPr fontId="2" type="noConversion"/>
  </si>
  <si>
    <t>4월 / Pavel</t>
    <phoneticPr fontId="2" type="noConversion"/>
  </si>
  <si>
    <t>4월 / 김철순</t>
    <phoneticPr fontId="2" type="noConversion"/>
  </si>
  <si>
    <t>4월 / 최해웅</t>
    <phoneticPr fontId="2" type="noConversion"/>
  </si>
  <si>
    <t>4월 / 유찬유</t>
    <phoneticPr fontId="2" type="noConversion"/>
  </si>
  <si>
    <t>4월 / 김형성</t>
    <phoneticPr fontId="2" type="noConversion"/>
  </si>
  <si>
    <t>4월 / 김석주</t>
    <phoneticPr fontId="2" type="noConversion"/>
  </si>
  <si>
    <t>Pavel</t>
    <phoneticPr fontId="2" type="noConversion"/>
  </si>
  <si>
    <t>5월 / 정현준</t>
    <phoneticPr fontId="2" type="noConversion"/>
  </si>
  <si>
    <t>5월 / 박상준</t>
    <phoneticPr fontId="2" type="noConversion"/>
  </si>
  <si>
    <t>5월 / 장재혁</t>
    <phoneticPr fontId="2" type="noConversion"/>
  </si>
  <si>
    <t>5월 / 이승찬</t>
    <phoneticPr fontId="2" type="noConversion"/>
  </si>
  <si>
    <t>5월 / 김철순</t>
    <phoneticPr fontId="2" type="noConversion"/>
  </si>
  <si>
    <t>5월 / 최해웅</t>
    <phoneticPr fontId="2" type="noConversion"/>
  </si>
  <si>
    <t>5월 / 김형성</t>
    <phoneticPr fontId="2" type="noConversion"/>
  </si>
  <si>
    <t>5월 / 김석주</t>
    <phoneticPr fontId="2" type="noConversion"/>
  </si>
  <si>
    <t>정현준</t>
    <phoneticPr fontId="2" type="noConversion"/>
  </si>
  <si>
    <t>박상준</t>
  </si>
  <si>
    <t>장재혁</t>
  </si>
  <si>
    <t>이승찬</t>
  </si>
  <si>
    <t>6월 / 정현준</t>
    <phoneticPr fontId="2" type="noConversion"/>
  </si>
  <si>
    <t>6월 / 김철순</t>
    <phoneticPr fontId="2" type="noConversion"/>
  </si>
  <si>
    <t>6월 / 최해웅</t>
    <phoneticPr fontId="2" type="noConversion"/>
  </si>
  <si>
    <t>6월 / 김형성</t>
    <phoneticPr fontId="2" type="noConversion"/>
  </si>
  <si>
    <t>6월 / 김석주</t>
    <phoneticPr fontId="2" type="noConversion"/>
  </si>
  <si>
    <t>6월 / 박상준</t>
    <phoneticPr fontId="2" type="noConversion"/>
  </si>
  <si>
    <t>6월 / 장재혁</t>
    <phoneticPr fontId="2" type="noConversion"/>
  </si>
  <si>
    <t>6월 / 이승찬</t>
    <phoneticPr fontId="2" type="noConversion"/>
  </si>
  <si>
    <t>정현준</t>
    <phoneticPr fontId="2" type="noConversion"/>
  </si>
  <si>
    <t>7월 / 정현준</t>
    <phoneticPr fontId="2" type="noConversion"/>
  </si>
  <si>
    <t>7월 / 김철순</t>
    <phoneticPr fontId="2" type="noConversion"/>
  </si>
  <si>
    <t>7월 / 최해웅</t>
    <phoneticPr fontId="2" type="noConversion"/>
  </si>
  <si>
    <t>7월 / 김형성</t>
    <phoneticPr fontId="2" type="noConversion"/>
  </si>
  <si>
    <t>7월 / 김석주</t>
    <phoneticPr fontId="2" type="noConversion"/>
  </si>
  <si>
    <t>7월 / 박상준</t>
    <phoneticPr fontId="2" type="noConversion"/>
  </si>
  <si>
    <t>7월 / 장재혁</t>
    <phoneticPr fontId="2" type="noConversion"/>
  </si>
  <si>
    <t>7월 / 이승찬</t>
    <phoneticPr fontId="2" type="noConversion"/>
  </si>
  <si>
    <t>8월 / 정현준</t>
    <phoneticPr fontId="2" type="noConversion"/>
  </si>
  <si>
    <t>8월 / 김철순</t>
    <phoneticPr fontId="2" type="noConversion"/>
  </si>
  <si>
    <t>8월 / 김형성</t>
    <phoneticPr fontId="2" type="noConversion"/>
  </si>
  <si>
    <t>8월 / 박상준</t>
    <phoneticPr fontId="2" type="noConversion"/>
  </si>
  <si>
    <t>9월 / 박상준</t>
    <phoneticPr fontId="2" type="noConversion"/>
  </si>
  <si>
    <t>9월 / 정현준</t>
    <phoneticPr fontId="2" type="noConversion"/>
  </si>
  <si>
    <t>9월 / 김철순</t>
    <phoneticPr fontId="2" type="noConversion"/>
  </si>
  <si>
    <t>9월 / 김형성</t>
    <phoneticPr fontId="2" type="noConversion"/>
  </si>
  <si>
    <t>10월 / 박상준</t>
    <phoneticPr fontId="2" type="noConversion"/>
  </si>
  <si>
    <t>10월 / 정현준</t>
    <phoneticPr fontId="2" type="noConversion"/>
  </si>
  <si>
    <t>10월 / 김철순</t>
    <phoneticPr fontId="2" type="noConversion"/>
  </si>
  <si>
    <t>10월 / 김형성</t>
    <phoneticPr fontId="2" type="noConversion"/>
  </si>
  <si>
    <t>11월 / 박상준</t>
    <phoneticPr fontId="2" type="noConversion"/>
  </si>
  <si>
    <t>11월 / 정현준</t>
    <phoneticPr fontId="2" type="noConversion"/>
  </si>
  <si>
    <t>11월 / 김철순</t>
    <phoneticPr fontId="2" type="noConversion"/>
  </si>
  <si>
    <t>11월 / 김형성</t>
    <phoneticPr fontId="2" type="noConversion"/>
  </si>
  <si>
    <t>12월 / 박상준</t>
    <phoneticPr fontId="2" type="noConversion"/>
  </si>
  <si>
    <t>12월 / 정현준</t>
    <phoneticPr fontId="2" type="noConversion"/>
  </si>
  <si>
    <t>12월 / 김철순</t>
    <phoneticPr fontId="2" type="noConversion"/>
  </si>
  <si>
    <t>12월 / 김형성</t>
    <phoneticPr fontId="2" type="noConversion"/>
  </si>
  <si>
    <t>재료비</t>
    <phoneticPr fontId="2" type="noConversion"/>
  </si>
  <si>
    <t>시작품제작비</t>
    <phoneticPr fontId="2" type="noConversion"/>
  </si>
  <si>
    <t>시작품제작비</t>
    <phoneticPr fontId="2" type="noConversion"/>
  </si>
  <si>
    <t>카드</t>
    <phoneticPr fontId="2" type="noConversion"/>
  </si>
  <si>
    <t>카드</t>
    <phoneticPr fontId="2" type="noConversion"/>
  </si>
  <si>
    <t xml:space="preserve">PPRO,ALL,MLP,DE112,MUA,001,N/A,TEAM </t>
    <phoneticPr fontId="2" type="noConversion"/>
  </si>
  <si>
    <t xml:space="preserve">Seagate 외  </t>
    <phoneticPr fontId="2" type="noConversion"/>
  </si>
  <si>
    <t>우성과학</t>
    <phoneticPr fontId="2" type="noConversion"/>
  </si>
  <si>
    <t>Adobe</t>
    <phoneticPr fontId="2" type="noConversion"/>
  </si>
  <si>
    <t>한세대
산학협력단</t>
    <phoneticPr fontId="2" type="noConversion"/>
  </si>
  <si>
    <t>한국비용편익
분석연구원</t>
    <phoneticPr fontId="2" type="noConversion"/>
  </si>
  <si>
    <t>DeSecure 블록체인의 미래 성장 전략 연구</t>
    <phoneticPr fontId="2" type="noConversion"/>
  </si>
  <si>
    <t xml:space="preserve">Analysis and Design of Blockchain value creation mechanism 용역  </t>
    <phoneticPr fontId="2" type="noConversion"/>
  </si>
  <si>
    <t>도서구입비</t>
    <phoneticPr fontId="2" type="noConversion"/>
  </si>
  <si>
    <t xml:space="preserve">파인썬으로 배우는 알고리즘 트레이딩,블록체인의 미래 </t>
    <phoneticPr fontId="2" type="noConversion"/>
  </si>
  <si>
    <t>교보문고</t>
    <phoneticPr fontId="2" type="noConversion"/>
  </si>
  <si>
    <t>Programming bitcoin, 2권</t>
    <phoneticPr fontId="2" type="noConversion"/>
  </si>
  <si>
    <t>yes24</t>
    <phoneticPr fontId="2" type="noConversion"/>
  </si>
  <si>
    <t>전문가활용경비</t>
    <phoneticPr fontId="2" type="noConversion"/>
  </si>
  <si>
    <t>계좌이체</t>
    <phoneticPr fontId="2" type="noConversion"/>
  </si>
  <si>
    <t>‘Trilemma of Blockchain &amp; Cryptocurrency Governance’ 강의</t>
    <phoneticPr fontId="2" type="noConversion"/>
  </si>
  <si>
    <t>박창기</t>
    <phoneticPr fontId="2" type="noConversion"/>
  </si>
  <si>
    <t>이영환</t>
    <phoneticPr fontId="2" type="noConversion"/>
  </si>
  <si>
    <t>‘‘Consensus Algorithm and Tokeneconomy’’ 강의</t>
    <phoneticPr fontId="2" type="noConversion"/>
  </si>
  <si>
    <t>‘‘Ethereum Dapp’’ 강의</t>
    <phoneticPr fontId="2" type="noConversion"/>
  </si>
  <si>
    <t>이광열</t>
    <phoneticPr fontId="2" type="noConversion"/>
  </si>
  <si>
    <t>An NDN-based distributed ledger for the user QoE improvement' 자문료</t>
    <phoneticPr fontId="2" type="noConversion"/>
  </si>
  <si>
    <t>Michele 
Scarlato</t>
    <phoneticPr fontId="2" type="noConversion"/>
  </si>
  <si>
    <t>2019/4/9-5/8</t>
    <phoneticPr fontId="2" type="noConversion"/>
  </si>
  <si>
    <t xml:space="preserve"> Understanding Ethereum Yellow Paper 강의</t>
    <phoneticPr fontId="2" type="noConversion"/>
  </si>
  <si>
    <t>정순형</t>
    <phoneticPr fontId="2" type="noConversion"/>
  </si>
  <si>
    <t>Blockchain &amp; Innovative Nation 강의</t>
    <phoneticPr fontId="2" type="noConversion"/>
  </si>
  <si>
    <t>전하진</t>
    <phoneticPr fontId="2" type="noConversion"/>
  </si>
  <si>
    <t>내빈관 사용료 (4.16-17일, 23-24일, 30-5.1일, 5.7-8일,  4박)</t>
    <phoneticPr fontId="2" type="noConversion"/>
  </si>
  <si>
    <t>광주과기원</t>
    <phoneticPr fontId="2" type="noConversion"/>
  </si>
  <si>
    <t>Crypto Economy 설계에 대한 강의</t>
    <phoneticPr fontId="2" type="noConversion"/>
  </si>
  <si>
    <t>장중혁</t>
    <phoneticPr fontId="2" type="noConversion"/>
  </si>
  <si>
    <t>이더리움 core와 Transaction의 이해 강의</t>
    <phoneticPr fontId="2" type="noConversion"/>
  </si>
  <si>
    <t>정상효</t>
    <phoneticPr fontId="2" type="noConversion"/>
  </si>
  <si>
    <t>이민호</t>
    <phoneticPr fontId="2" type="noConversion"/>
  </si>
  <si>
    <t>EVM의 이해 강의</t>
  </si>
  <si>
    <t>오회근</t>
    <phoneticPr fontId="2" type="noConversion"/>
  </si>
  <si>
    <t>Ethereum Archticture 강의</t>
    <phoneticPr fontId="2" type="noConversion"/>
  </si>
  <si>
    <t>Smart Contracts 강의</t>
    <phoneticPr fontId="2" type="noConversion"/>
  </si>
  <si>
    <t>An NDN-based distributed ledger for the user QoE improvement' 자문료</t>
    <phoneticPr fontId="2" type="noConversion"/>
  </si>
  <si>
    <t>2019/5/9-6/9</t>
    <phoneticPr fontId="2" type="noConversion"/>
  </si>
  <si>
    <t>CrypyoKitties #1' 강의</t>
    <phoneticPr fontId="2" type="noConversion"/>
  </si>
  <si>
    <t>내빈관 사용료 (5.14~15일, 21-22일, 28-29일,  3박)</t>
    <phoneticPr fontId="2" type="noConversion"/>
  </si>
  <si>
    <t>CrypyoKitties #2' 강의</t>
    <phoneticPr fontId="2" type="noConversion"/>
  </si>
  <si>
    <t>Code level Bitcoin Consensus' 강의</t>
    <phoneticPr fontId="2" type="noConversion"/>
  </si>
  <si>
    <t>Bitcoin-ECC Build 및 Docker' 강의</t>
    <phoneticPr fontId="2" type="noConversion"/>
  </si>
  <si>
    <t>Bitcoin Transactions #1’ 강의</t>
    <phoneticPr fontId="2" type="noConversion"/>
  </si>
  <si>
    <t xml:space="preserve"> 'Bitcoin Transactions #2' 강의</t>
    <phoneticPr fontId="2" type="noConversion"/>
  </si>
  <si>
    <t>Finite Fields 강의</t>
    <phoneticPr fontId="2" type="noConversion"/>
  </si>
  <si>
    <t xml:space="preserve"> Transactions 강의</t>
    <phoneticPr fontId="2" type="noConversion"/>
  </si>
  <si>
    <t>Script 강의</t>
    <phoneticPr fontId="2" type="noConversion"/>
  </si>
  <si>
    <t>Private Blockchain #1’ 강의</t>
    <phoneticPr fontId="2" type="noConversion"/>
  </si>
  <si>
    <t>내빈관 사용료 (11/28, 12/5, 12/12, 3박)</t>
    <phoneticPr fontId="2" type="noConversion"/>
  </si>
  <si>
    <t>2019/11/21-12/27</t>
    <phoneticPr fontId="2" type="noConversion"/>
  </si>
  <si>
    <t>Quality of Service improvements for real time multimedia applications using next generation network architectures and blockchain in Internet Service Provider cooperative 자문료</t>
    <phoneticPr fontId="2" type="noConversion"/>
  </si>
  <si>
    <t>학회등록비</t>
    <phoneticPr fontId="2" type="noConversion"/>
  </si>
  <si>
    <t>제2회 분산경제포럼 등록비 (4/4-4/5일)_Pavel</t>
    <phoneticPr fontId="2" type="noConversion"/>
  </si>
  <si>
    <t>카드</t>
    <phoneticPr fontId="2" type="noConversion"/>
  </si>
  <si>
    <t>Blockchain Tech &amp; Business Summit 2019 등록비_정현준</t>
    <phoneticPr fontId="2" type="noConversion"/>
  </si>
  <si>
    <t>Consensus NY 2019 (GOLD 패키지) 학회부스전시등록비</t>
    <phoneticPr fontId="2" type="noConversion"/>
  </si>
  <si>
    <t xml:space="preserve">How to Create your Own Altcoin | Bitcoin hard fork_채종홍 </t>
    <phoneticPr fontId="2" type="noConversion"/>
  </si>
  <si>
    <t>교육훈련비</t>
    <phoneticPr fontId="2" type="noConversion"/>
  </si>
  <si>
    <t>㈜온오프믹스</t>
    <phoneticPr fontId="2" type="noConversion"/>
  </si>
  <si>
    <t>㈜블로터앤미디어</t>
    <phoneticPr fontId="2" type="noConversion"/>
  </si>
  <si>
    <t>CRYPTO VALLEY ASSOCIAT</t>
    <phoneticPr fontId="2" type="noConversion"/>
  </si>
  <si>
    <t>UDEMY ONLINE COURSES</t>
    <phoneticPr fontId="2" type="noConversion"/>
  </si>
  <si>
    <t>이흥노/2019.5.12-17/뉴욕/Consensus 2019 in New York 부스 전시 및 Coin Center Annual Network 참석</t>
    <phoneticPr fontId="2" type="noConversion"/>
  </si>
  <si>
    <t>이흥노</t>
    <phoneticPr fontId="2" type="noConversion"/>
  </si>
  <si>
    <t>2019/5/12-17</t>
    <phoneticPr fontId="2" type="noConversion"/>
  </si>
  <si>
    <t>정현준/2019.5.12-17/뉴욕/Consensus 2019 in New York 부스 전시 및 Coin Center Annual Network 참석</t>
    <phoneticPr fontId="2" type="noConversion"/>
  </si>
  <si>
    <t>장재혁</t>
    <phoneticPr fontId="2" type="noConversion"/>
  </si>
  <si>
    <t>인쇄복사비</t>
    <phoneticPr fontId="2" type="noConversion"/>
  </si>
  <si>
    <t>리플렛제작 400*210, 1000부</t>
    <phoneticPr fontId="2" type="noConversion"/>
  </si>
  <si>
    <t>디자인더하다</t>
    <phoneticPr fontId="2" type="noConversion"/>
  </si>
  <si>
    <t>Consensus NY 2019 학회 부스 롤업배너 제작</t>
    <phoneticPr fontId="2" type="noConversion"/>
  </si>
  <si>
    <t>남영광고기획</t>
    <phoneticPr fontId="2" type="noConversion"/>
  </si>
  <si>
    <t>2019/5/12-16</t>
    <phoneticPr fontId="2" type="noConversion"/>
  </si>
  <si>
    <t xml:space="preserve">장재혁/2019.5.12-17/뉴욕/Blockchain consensus New York 2019 부스 전시 및 토론 프로그램 참석 </t>
    <phoneticPr fontId="2" type="noConversion"/>
  </si>
  <si>
    <t xml:space="preserve">박상준/2019.5.12-16/뉴욕/Blockchain consensus New York 2019 부스 전시 및 토론 프로그램 참석 </t>
    <phoneticPr fontId="2" type="noConversion"/>
  </si>
  <si>
    <t>박상준</t>
    <phoneticPr fontId="2" type="noConversion"/>
  </si>
  <si>
    <t>이드콘코리아 (5/27-28) 등록비 _김형성</t>
    <phoneticPr fontId="2" type="noConversion"/>
  </si>
  <si>
    <t>이드콘코리아 (5/27-28) 등록비 _이승찬</t>
    <phoneticPr fontId="2" type="noConversion"/>
  </si>
  <si>
    <t>결제대행_A-페스타</t>
    <phoneticPr fontId="2" type="noConversion"/>
  </si>
  <si>
    <t>이드콘코리아 (5/27-28) 등록비 _김석주</t>
    <phoneticPr fontId="2" type="noConversion"/>
  </si>
  <si>
    <t>대한전자공학회</t>
    <phoneticPr fontId="2" type="noConversion"/>
  </si>
  <si>
    <t>6/17-18일 대한전자공학회 '블록체인으로 여는 미래 워크샵' 등록비_김철순, 이승찬, 박상준, 최해웅, 장재혁, 
김형성 (6명)</t>
    <phoneticPr fontId="2" type="noConversion"/>
  </si>
  <si>
    <t>계좌이체</t>
    <phoneticPr fontId="2" type="noConversion"/>
  </si>
  <si>
    <t>㈜블록체인투자연구소</t>
    <phoneticPr fontId="2" type="noConversion"/>
  </si>
  <si>
    <t>한국시험인증원주식회사</t>
    <phoneticPr fontId="2" type="noConversion"/>
  </si>
  <si>
    <t>ECH-ECC 확장성 시험수수료</t>
    <phoneticPr fontId="2" type="noConversion"/>
  </si>
  <si>
    <t>사단법인 블록체인법학회</t>
    <phoneticPr fontId="2" type="noConversion"/>
  </si>
  <si>
    <t>블록체인법학회 정회원 납부_이흥노, 정현준</t>
    <phoneticPr fontId="2" type="noConversion"/>
  </si>
  <si>
    <t>제2회 분산경제포럼 등록비 (4/4-4/5일)_이흥노</t>
    <phoneticPr fontId="2" type="noConversion"/>
  </si>
  <si>
    <t>6/17-18일 대한전자공학회 '블록체인으로 여는 미래 워크샵' 등록비_이흥노</t>
    <phoneticPr fontId="2" type="noConversion"/>
  </si>
  <si>
    <t>11/8일 블록체인 금융 컨퍼런스 등록비_이흥노</t>
    <phoneticPr fontId="2" type="noConversion"/>
  </si>
  <si>
    <t>세미나참가비</t>
    <phoneticPr fontId="2" type="noConversion"/>
  </si>
  <si>
    <t>시험분석료(외부)</t>
    <phoneticPr fontId="2" type="noConversion"/>
  </si>
  <si>
    <t>회의비</t>
    <phoneticPr fontId="2" type="noConversion"/>
  </si>
  <si>
    <t>넓으실</t>
    <phoneticPr fontId="2" type="noConversion"/>
  </si>
  <si>
    <t>작업증명에 사용되는 암호퍼즐을 매 블록마다 바꾸는 방법에 대한 논의 / 김기선,문승현,이흥노,임혁,이현주,김건우,홍은표,이기리,김한수,한경록)</t>
    <phoneticPr fontId="2" type="noConversion"/>
  </si>
  <si>
    <t>국내출장</t>
    <phoneticPr fontId="2" type="noConversion"/>
  </si>
  <si>
    <t>정현준/2019.3.23/서울/“소비자보호 기반 암호화폐 거래소 표준화 운영 관리 및 규제가이드 금융정책 시사점” 연구 외부 집필 위원참석</t>
    <phoneticPr fontId="2" type="noConversion"/>
  </si>
  <si>
    <t>정현준/2019.3.28/대전/'확장가능한 탈중앙화 보안성 ECCPoW 블록체인' 관련 연구논의</t>
    <phoneticPr fontId="2" type="noConversion"/>
  </si>
  <si>
    <t>김철순/2019.3.28/대전/'확장가능한 탈중앙화 보안성 ECCPoW 블록체인' 관련 연구논의</t>
    <phoneticPr fontId="2" type="noConversion"/>
  </si>
  <si>
    <t>삼대나주곰탕</t>
    <phoneticPr fontId="2" type="noConversion"/>
  </si>
  <si>
    <t>넓으실</t>
    <phoneticPr fontId="2" type="noConversion"/>
  </si>
  <si>
    <t xml:space="preserve">블록체인 거버넌스 설계시 필요한 조건에 대한 논의/이흥노,박창기,정현준,장재혁,박상준,김형성,조성민,김석주,채종홍 </t>
    <phoneticPr fontId="2" type="noConversion"/>
  </si>
  <si>
    <t>LDPC 코드를 사용한 새로운 블록체인 자격증명 방식의 공격 취약성 분석/이흥노,이호재,정현준,채종홍,장재혁,유찬유,조성민,김석주</t>
    <phoneticPr fontId="2" type="noConversion"/>
  </si>
  <si>
    <t>이흥노/2019.3.29/세종대/블록체인 학회 - 제4차산업혁명 융합법학회 춘계학술대회 참석</t>
    <phoneticPr fontId="2" type="noConversion"/>
  </si>
  <si>
    <t>이흥노/2019.4.4-4.5/제2회 분산경제포럼 참석</t>
    <phoneticPr fontId="2" type="noConversion"/>
  </si>
  <si>
    <t>Pavel</t>
    <phoneticPr fontId="2" type="noConversion"/>
  </si>
  <si>
    <t>Pavel/2019.4.3-4.5/제2회 분산경제포럼 참석</t>
    <phoneticPr fontId="2" type="noConversion"/>
  </si>
  <si>
    <t xml:space="preserve">인공지능과 빅데이터, 블록체인의 접합점에 대한 논의/이흥노, 이영환, 박상준, 장재혁, 정길준, 채종홍 </t>
    <phoneticPr fontId="2" type="noConversion"/>
  </si>
  <si>
    <t>정현준/2019.4.24-25/서울/Blockchain Tech &amp; Business Summit 2019 참석</t>
    <phoneticPr fontId="2" type="noConversion"/>
  </si>
  <si>
    <t>송정원</t>
    <phoneticPr fontId="2" type="noConversion"/>
  </si>
  <si>
    <t>암호화폐 거래소에서의 소비자 권익 및 이더리움 기술이해 필요성 논의/이흥노,김기흥,정순형,김휘경,정현준,박상준,장재혁,이창윤,유찬유,정우정,채종홍,김석주, 조성민</t>
    <phoneticPr fontId="2" type="noConversion"/>
  </si>
  <si>
    <t>해담채 강남</t>
    <phoneticPr fontId="2" type="noConversion"/>
  </si>
  <si>
    <t>암호화폐의 미래의 역할/ 이흥노,전하진,김기흥,황경태,이영환,정상호,홍은표,조원선,김태원,박창기,이광열,김휘경,장중혁,오정근</t>
    <phoneticPr fontId="2" type="noConversion"/>
  </si>
  <si>
    <t>락락</t>
    <phoneticPr fontId="2" type="noConversion"/>
  </si>
  <si>
    <t>Anti-ASIC을 위한 작업증명 조건에 대한 회의/이흥노,정현준,박상준,장재혁,이승찬,yaseen, 채종홍,조성민,김석주,정순형,김휘경,신건우,황재승,박정원,박주형,송무복,강주형</t>
    <phoneticPr fontId="2" type="noConversion"/>
  </si>
  <si>
    <t xml:space="preserve">이흥노/2019.5.1-2/서울,강릉/JCCI 제29회 통신정보합동학술대회 특별강연 및 블록체인 연구논의 </t>
    <phoneticPr fontId="2" type="noConversion"/>
  </si>
  <si>
    <t xml:space="preserve"> LDPC 코드를 사용한 새로운 블록체인 자격증명 방식의 난이도 조절 능력 분석/조원선,김성현,박상준,장재혁,최해웅,이승찬,yaseen,강주성,pavel, 정길준,이창윤,김형성,조성민,김석주</t>
    <phoneticPr fontId="2" type="noConversion"/>
  </si>
  <si>
    <t>꽃담 첨단점</t>
    <phoneticPr fontId="2" type="noConversion"/>
  </si>
  <si>
    <t>이더리움 블록체인에 대한 이해/이흥노,정현준,박상준,장재혁,이승찬, yaseen, 채종홍,조성민,김석주,이민호,정상효</t>
    <phoneticPr fontId="2" type="noConversion"/>
  </si>
  <si>
    <t>금융권 블록체인 컨소시엄 사업 본격화에 관한 논의 /이흥노,장중혁,이민호,정상효,정현준,박상준,장재혁,이승찬,김철순,김형성,이창윤,조성민,김석주,채종홍</t>
    <phoneticPr fontId="2" type="noConversion"/>
  </si>
  <si>
    <t>행복뜰</t>
    <phoneticPr fontId="2" type="noConversion"/>
  </si>
  <si>
    <t xml:space="preserve">비트코인 하드포크 시 고려할 사항들에 대한 논의/오회근,채종홍,이승찬,김형성,조성민,정우정 </t>
    <phoneticPr fontId="2" type="noConversion"/>
  </si>
  <si>
    <t>이승찬/2019.5.27-28/서울/이드콘 코리아 2019 참석</t>
    <phoneticPr fontId="2" type="noConversion"/>
  </si>
  <si>
    <t>이승찬</t>
    <phoneticPr fontId="2" type="noConversion"/>
  </si>
  <si>
    <t>김형성/2019.5.27-28/서울/이드콘 코리아 2019 참석</t>
    <phoneticPr fontId="2" type="noConversion"/>
  </si>
  <si>
    <t>ECCPoW 개발 진행 회의/ 김기흥,박상준,정길준,이창윤,김형성,조성민</t>
    <phoneticPr fontId="2" type="noConversion"/>
  </si>
  <si>
    <t>명진가마솥보리밥</t>
    <phoneticPr fontId="2" type="noConversion"/>
  </si>
  <si>
    <t>암호-부호 작업증명 (PoW) 비트코인 진행상황 점검/오회근,이흥노,장재혁,김철순,채종홍,김형성,이창윤</t>
    <phoneticPr fontId="2" type="noConversion"/>
  </si>
  <si>
    <t>고려조삼계탕</t>
    <phoneticPr fontId="2" type="noConversion"/>
  </si>
  <si>
    <t xml:space="preserve"> 비트코인 소스코드 분석/ 이흥노,오회근,박상준,정현준,채종홍,조성민</t>
    <phoneticPr fontId="2" type="noConversion"/>
  </si>
  <si>
    <t>넓으실</t>
    <phoneticPr fontId="2" type="noConversion"/>
  </si>
  <si>
    <t xml:space="preserve"> 암호자산 (Crypto-Assets) 에 대한 논의/이흥노,구태언,정현준,이승찬,박상준,장재혁,yaseen, 김철순,정길준,이창윤,김형성,채종홍,김석주,조성민</t>
    <phoneticPr fontId="2" type="noConversion"/>
  </si>
  <si>
    <t>김철순/2019.6.16-18/서울/ '블록체인으로 여는 미래사회' 워크샵 참석</t>
    <phoneticPr fontId="2" type="noConversion"/>
  </si>
  <si>
    <t>이승찬</t>
    <phoneticPr fontId="2" type="noConversion"/>
  </si>
  <si>
    <t>김형성</t>
    <phoneticPr fontId="2" type="noConversion"/>
  </si>
  <si>
    <t>이승찬/2019.6.16-18/서울/ '블록체인으로 여는 미래사회' 워크샵 참석</t>
    <phoneticPr fontId="2" type="noConversion"/>
  </si>
  <si>
    <t>김형성/2019.6.17-18/서울/ '블록체인으로 여는 미래사회' 워크샵 참석</t>
    <phoneticPr fontId="2" type="noConversion"/>
  </si>
  <si>
    <t>최해웅/2019.6.17-18/서울/ '블록체인으로 여는 미래사회' 워크샵 참석</t>
    <phoneticPr fontId="2" type="noConversion"/>
  </si>
  <si>
    <t>해담채 강남</t>
    <phoneticPr fontId="2" type="noConversion"/>
  </si>
  <si>
    <t>보안성 강화 알고리즘 개발 및 매 블록마다 변화하는 암호 퍼즐 디코더 개발에 관한 논의/이흥노,홍은표,정상호,장중혁,김태원,오정근,박창기,김기흥,이영환,구태언,이광열,황경태,정순형,전하진</t>
    <phoneticPr fontId="2" type="noConversion"/>
  </si>
  <si>
    <t>음악살롱</t>
    <phoneticPr fontId="2" type="noConversion"/>
  </si>
  <si>
    <t>확장성 문제 해결을 위한 off-chain 기술 동향파악/정현준,박상준,김형성,정순혁,김병철,윤석빈,박민우,이애라,박세열,이원석,김형식,김민석,박경준,정순형,김휘경,신건우,황재승</t>
    <phoneticPr fontId="2" type="noConversion"/>
  </si>
  <si>
    <t>이승찬/2019.7.5/서울/Desecure 프로젝트 관련 (주)온더와 기술교류 회의</t>
    <phoneticPr fontId="2" type="noConversion"/>
  </si>
  <si>
    <t>이승찬</t>
    <phoneticPr fontId="2" type="noConversion"/>
  </si>
  <si>
    <t>이승찬/2019.7.26/서울/Desecure Blockchain Meetup 참석</t>
    <phoneticPr fontId="2" type="noConversion"/>
  </si>
  <si>
    <t>샤브오</t>
    <phoneticPr fontId="2" type="noConversion"/>
  </si>
  <si>
    <t>LDPC 코드를 사용한 새로운 블록체인 자격증명 방식의 난이도조절 문제/정현준,장재혁,박상준,김형성,황재승</t>
    <phoneticPr fontId="2" type="noConversion"/>
  </si>
  <si>
    <t>금성칡냉면</t>
    <phoneticPr fontId="2" type="noConversion"/>
  </si>
  <si>
    <t>Digital ID 연구동향 논의/이흥노,백양순,정현준,장재혁,박상준</t>
    <phoneticPr fontId="2" type="noConversion"/>
  </si>
  <si>
    <t>맛있는이야기</t>
    <phoneticPr fontId="2" type="noConversion"/>
  </si>
  <si>
    <t xml:space="preserve">확장가능한 탈중앙화 보안성 ECCPoW 블록체인 논의/ 이흥노,장재혁,박상준,정현준,채종홍,황재승,정순형,오회근 </t>
    <phoneticPr fontId="2" type="noConversion"/>
  </si>
  <si>
    <t>정현준/2019.9.6-9.11/서울/블록체인 연구논의 ((주)델리오)</t>
    <phoneticPr fontId="2" type="noConversion"/>
  </si>
  <si>
    <t>박상준/2019.9.6/서울/블록체인 연구논의 ((주)델리오)</t>
    <phoneticPr fontId="2" type="noConversion"/>
  </si>
  <si>
    <t>신세계페이먼츠</t>
    <phoneticPr fontId="2" type="noConversion"/>
  </si>
  <si>
    <t>첨단스시</t>
    <phoneticPr fontId="2" type="noConversion"/>
  </si>
  <si>
    <t>반올림피자샵</t>
    <phoneticPr fontId="2" type="noConversion"/>
  </si>
  <si>
    <t>이흥노/2019.11.8/서울/블록체인금융 컨퍼런스 참석</t>
    <phoneticPr fontId="2" type="noConversion"/>
  </si>
  <si>
    <t xml:space="preserve">이흥노/2019.11.11/서울/2019 SEN BLOCKCHAIN SUMMIT 참석 </t>
    <phoneticPr fontId="2" type="noConversion"/>
  </si>
  <si>
    <t>본도시락</t>
    <phoneticPr fontId="2" type="noConversion"/>
  </si>
  <si>
    <t>참일능이</t>
    <phoneticPr fontId="2" type="noConversion"/>
  </si>
  <si>
    <t>카드</t>
    <phoneticPr fontId="2" type="noConversion"/>
  </si>
  <si>
    <t>상고당</t>
    <phoneticPr fontId="2" type="noConversion"/>
  </si>
  <si>
    <t>스테플러 외 5종</t>
    <phoneticPr fontId="2" type="noConversion"/>
  </si>
  <si>
    <t>사무용품비</t>
    <phoneticPr fontId="2" type="noConversion"/>
  </si>
  <si>
    <t>ECCPoW 프로젝트 개발 협력 논의/ 박상준,이수민,김지윤,최형규,정순형,김휘경,신건우,황재승,신진환,오회근</t>
    <phoneticPr fontId="2" type="noConversion"/>
  </si>
  <si>
    <t>암호-부호 작업증명 (PoW) 비트코인/이더리움 하드포크 테스트 계획/ 박상준,장재혁,이승찬,채종홍,이창윤,김형성,오회근</t>
    <phoneticPr fontId="2" type="noConversion"/>
  </si>
  <si>
    <t>BTC-ECC Test 논의/오회근,박상준,장재혁,이승찬,채종홍,김형성</t>
    <phoneticPr fontId="2" type="noConversion"/>
  </si>
  <si>
    <t>ECCPoW 진행상황 점검 및 문제점 논의/ 이흥노,정현준,채종홍,장재혁,김형성,정순형,황재승</t>
    <phoneticPr fontId="2" type="noConversion"/>
  </si>
  <si>
    <t xml:space="preserve"> ECCPoW 고도화 방안/ 오회근,정현준,박상준,채종홍,장재혁,김철순,이승찬,김형성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</si>
</sst>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86" formatCode="0.0%"/>
  </numFmts>
  <fonts count="18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u/>
      <sz val="14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12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41" fontId="4" fillId="0" borderId="1" xfId="1" applyFont="1" applyBorder="1" applyAlignment="1">
      <alignment horizontal="center" vertical="center" wrapText="1"/>
    </xf>
    <xf numFmtId="41" fontId="4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4" fillId="0" borderId="0" xfId="0" applyFont="1" applyAlignment="1">
      <alignment horizontal="right" vertical="center" indent="2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9" fontId="11" fillId="0" borderId="1" xfId="2" applyFont="1" applyBorder="1" applyAlignment="1">
      <alignment horizontal="center" vertical="center" wrapText="1"/>
    </xf>
    <xf numFmtId="41" fontId="6" fillId="0" borderId="2" xfId="0" applyNumberFormat="1" applyFont="1" applyBorder="1" applyAlignment="1">
      <alignment vertical="center"/>
    </xf>
    <xf numFmtId="41" fontId="6" fillId="2" borderId="2" xfId="0" applyNumberFormat="1" applyFont="1" applyFill="1" applyBorder="1" applyAlignment="1">
      <alignment vertical="center"/>
    </xf>
    <xf numFmtId="41" fontId="6" fillId="0" borderId="2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41" fontId="11" fillId="0" borderId="1" xfId="1" applyFont="1" applyBorder="1" applyAlignment="1">
      <alignment horizontal="right" vertical="center" wrapText="1"/>
    </xf>
    <xf numFmtId="41" fontId="11" fillId="0" borderId="1" xfId="1" applyFont="1" applyBorder="1" applyAlignment="1">
      <alignment horizontal="center" vertical="center" wrapText="1"/>
    </xf>
    <xf numFmtId="41" fontId="8" fillId="0" borderId="0" xfId="0" applyNumberFormat="1" applyFont="1">
      <alignment vertical="center"/>
    </xf>
    <xf numFmtId="176" fontId="11" fillId="0" borderId="1" xfId="1" applyNumberFormat="1" applyFont="1" applyBorder="1" applyAlignment="1">
      <alignment horizontal="right" vertical="center" wrapText="1"/>
    </xf>
    <xf numFmtId="176" fontId="16" fillId="0" borderId="1" xfId="1" applyNumberFormat="1" applyFont="1" applyBorder="1" applyAlignment="1">
      <alignment horizontal="right" vertical="center" wrapText="1"/>
    </xf>
    <xf numFmtId="9" fontId="8" fillId="0" borderId="0" xfId="0" applyNumberFormat="1" applyFont="1">
      <alignment vertical="center"/>
    </xf>
    <xf numFmtId="41" fontId="8" fillId="0" borderId="0" xfId="1" applyFo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1" fillId="0" borderId="1" xfId="0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1" fontId="4" fillId="0" borderId="0" xfId="0" applyNumberFormat="1" applyFont="1">
      <alignment vertical="center"/>
    </xf>
    <xf numFmtId="0" fontId="17" fillId="0" borderId="1" xfId="0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43" fontId="4" fillId="0" borderId="1" xfId="1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6" fillId="0" borderId="2" xfId="1" applyFont="1" applyBorder="1" applyAlignment="1">
      <alignment vertical="center"/>
    </xf>
    <xf numFmtId="9" fontId="11" fillId="0" borderId="1" xfId="2" applyNumberFormat="1" applyFont="1" applyBorder="1" applyAlignment="1">
      <alignment horizontal="right" vertical="center" wrapText="1"/>
    </xf>
    <xf numFmtId="186" fontId="11" fillId="0" borderId="1" xfId="2" applyNumberFormat="1" applyFont="1" applyBorder="1" applyAlignment="1">
      <alignment horizontal="right" vertical="center" wrapText="1"/>
    </xf>
    <xf numFmtId="41" fontId="4" fillId="0" borderId="1" xfId="1" applyNumberFormat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23" sqref="K23"/>
    </sheetView>
  </sheetViews>
  <sheetFormatPr defaultColWidth="9" defaultRowHeight="16.5" x14ac:dyDescent="0.3"/>
  <cols>
    <col min="1" max="2" width="9" style="13"/>
    <col min="3" max="3" width="11.375" style="13" customWidth="1"/>
    <col min="4" max="4" width="10.25" style="13" bestFit="1" customWidth="1"/>
    <col min="5" max="5" width="9" style="13"/>
    <col min="6" max="6" width="10.25" style="13" bestFit="1" customWidth="1"/>
    <col min="7" max="7" width="9" style="13"/>
    <col min="8" max="8" width="12.25" style="13" customWidth="1"/>
    <col min="9" max="11" width="9" style="13"/>
    <col min="12" max="12" width="13.625" style="13" bestFit="1" customWidth="1"/>
    <col min="13" max="16384" width="9" style="13"/>
  </cols>
  <sheetData>
    <row r="1" spans="1:10" ht="20.25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14" t="s">
        <v>1</v>
      </c>
    </row>
    <row r="3" spans="1:10" x14ac:dyDescent="0.3">
      <c r="A3" s="14" t="s">
        <v>1</v>
      </c>
    </row>
    <row r="4" spans="1:10" ht="17.25" x14ac:dyDescent="0.3">
      <c r="A4" s="15" t="s">
        <v>37</v>
      </c>
    </row>
    <row r="5" spans="1:10" ht="25.5" customHeight="1" x14ac:dyDescent="0.3">
      <c r="A5" s="19" t="s">
        <v>2</v>
      </c>
      <c r="B5" s="37" t="s">
        <v>57</v>
      </c>
      <c r="C5" s="37"/>
      <c r="D5" s="37"/>
      <c r="E5" s="37"/>
      <c r="F5" s="37"/>
      <c r="G5" s="37"/>
      <c r="H5" s="37"/>
      <c r="I5" s="37"/>
      <c r="J5" s="37"/>
    </row>
    <row r="6" spans="1:10" ht="24" customHeight="1" x14ac:dyDescent="0.3">
      <c r="A6" s="19" t="s">
        <v>3</v>
      </c>
      <c r="B6" s="40" t="s">
        <v>58</v>
      </c>
      <c r="C6" s="40"/>
      <c r="D6" s="40"/>
      <c r="E6" s="40"/>
      <c r="F6" s="20" t="s">
        <v>4</v>
      </c>
      <c r="G6" s="37" t="s">
        <v>5</v>
      </c>
      <c r="H6" s="37"/>
      <c r="I6" s="37"/>
      <c r="J6" s="37"/>
    </row>
    <row r="7" spans="1:10" ht="27.75" customHeight="1" x14ac:dyDescent="0.3">
      <c r="A7" s="19" t="s">
        <v>6</v>
      </c>
      <c r="B7" s="40" t="s">
        <v>59</v>
      </c>
      <c r="C7" s="40"/>
      <c r="D7" s="40"/>
      <c r="E7" s="40"/>
      <c r="F7" s="20" t="s">
        <v>7</v>
      </c>
      <c r="G7" s="37" t="s">
        <v>60</v>
      </c>
      <c r="H7" s="37"/>
      <c r="I7" s="37"/>
      <c r="J7" s="37"/>
    </row>
    <row r="8" spans="1:10" x14ac:dyDescent="0.3">
      <c r="A8" s="16" t="s">
        <v>1</v>
      </c>
    </row>
    <row r="9" spans="1:10" ht="17.25" x14ac:dyDescent="0.3">
      <c r="A9" s="17" t="s">
        <v>1</v>
      </c>
    </row>
    <row r="10" spans="1:10" ht="17.25" x14ac:dyDescent="0.3">
      <c r="A10" s="39" t="s">
        <v>38</v>
      </c>
      <c r="B10" s="39"/>
      <c r="C10" s="39"/>
      <c r="D10" s="39"/>
      <c r="E10" s="39"/>
      <c r="F10" s="39"/>
      <c r="G10" s="39"/>
      <c r="H10" s="39"/>
      <c r="I10" s="39"/>
      <c r="J10" s="39"/>
    </row>
    <row r="11" spans="1:10" x14ac:dyDescent="0.3">
      <c r="A11" s="41" t="s">
        <v>39</v>
      </c>
      <c r="B11" s="41"/>
      <c r="C11" s="41"/>
      <c r="D11" s="41"/>
      <c r="E11" s="41"/>
      <c r="F11" s="41"/>
      <c r="G11" s="41"/>
      <c r="H11" s="41"/>
      <c r="I11" s="41"/>
      <c r="J11" s="41"/>
    </row>
    <row r="12" spans="1:10" x14ac:dyDescent="0.3">
      <c r="A12" s="37" t="s">
        <v>8</v>
      </c>
      <c r="B12" s="37"/>
      <c r="C12" s="37"/>
      <c r="D12" s="37" t="s">
        <v>10</v>
      </c>
      <c r="E12" s="37"/>
      <c r="F12" s="37" t="s">
        <v>11</v>
      </c>
      <c r="G12" s="37"/>
      <c r="H12" s="37" t="s">
        <v>12</v>
      </c>
      <c r="I12" s="37"/>
      <c r="J12" s="37" t="s">
        <v>13</v>
      </c>
    </row>
    <row r="13" spans="1:10" x14ac:dyDescent="0.3">
      <c r="A13" s="37" t="s">
        <v>9</v>
      </c>
      <c r="B13" s="37"/>
      <c r="C13" s="37"/>
      <c r="D13" s="37" t="s">
        <v>14</v>
      </c>
      <c r="E13" s="20" t="s">
        <v>15</v>
      </c>
      <c r="F13" s="37" t="s">
        <v>14</v>
      </c>
      <c r="G13" s="20" t="s">
        <v>15</v>
      </c>
      <c r="H13" s="37" t="s">
        <v>14</v>
      </c>
      <c r="I13" s="20" t="s">
        <v>15</v>
      </c>
      <c r="J13" s="37"/>
    </row>
    <row r="14" spans="1:10" x14ac:dyDescent="0.3">
      <c r="A14" s="37"/>
      <c r="B14" s="37"/>
      <c r="C14" s="37"/>
      <c r="D14" s="37"/>
      <c r="E14" s="20" t="s">
        <v>16</v>
      </c>
      <c r="F14" s="37"/>
      <c r="G14" s="20" t="s">
        <v>16</v>
      </c>
      <c r="H14" s="37"/>
      <c r="I14" s="20" t="s">
        <v>16</v>
      </c>
      <c r="J14" s="37"/>
    </row>
    <row r="15" spans="1:10" x14ac:dyDescent="0.3">
      <c r="A15" s="37" t="s">
        <v>17</v>
      </c>
      <c r="B15" s="36" t="s">
        <v>40</v>
      </c>
      <c r="C15" s="21" t="s">
        <v>41</v>
      </c>
      <c r="D15" s="30">
        <v>25000000</v>
      </c>
      <c r="E15" s="22">
        <f>D15/$D$24</f>
        <v>0.25</v>
      </c>
      <c r="F15" s="30">
        <v>25000000</v>
      </c>
      <c r="G15" s="22">
        <f>F15/$D$24</f>
        <v>0.25</v>
      </c>
      <c r="H15" s="30">
        <f>F15-D15</f>
        <v>0</v>
      </c>
      <c r="I15" s="62">
        <f>E15-G15</f>
        <v>0</v>
      </c>
      <c r="J15" s="19" t="s">
        <v>1</v>
      </c>
    </row>
    <row r="16" spans="1:10" x14ac:dyDescent="0.3">
      <c r="A16" s="37"/>
      <c r="B16" s="36"/>
      <c r="C16" s="21" t="s">
        <v>42</v>
      </c>
      <c r="D16" s="30">
        <v>2500000</v>
      </c>
      <c r="E16" s="22">
        <f>D16/$D$24</f>
        <v>2.5000000000000001E-2</v>
      </c>
      <c r="F16" s="30">
        <v>3782800</v>
      </c>
      <c r="G16" s="22">
        <f>F16/$D$24</f>
        <v>3.7828000000000001E-2</v>
      </c>
      <c r="H16" s="28">
        <f t="shared" ref="H16:H23" si="0">F16-D16</f>
        <v>1282800</v>
      </c>
      <c r="I16" s="63">
        <f t="shared" ref="I16:I24" si="1">E16-G16</f>
        <v>-1.2827999999999999E-2</v>
      </c>
      <c r="J16" s="19" t="s">
        <v>1</v>
      </c>
    </row>
    <row r="17" spans="1:12" x14ac:dyDescent="0.3">
      <c r="A17" s="37"/>
      <c r="B17" s="36" t="s">
        <v>43</v>
      </c>
      <c r="C17" s="36"/>
      <c r="D17" s="31">
        <v>0</v>
      </c>
      <c r="E17" s="22">
        <f t="shared" ref="E17:G23" si="2">D17/$D$24</f>
        <v>0</v>
      </c>
      <c r="F17" s="31">
        <v>11443277</v>
      </c>
      <c r="G17" s="22">
        <f t="shared" si="2"/>
        <v>0.11443277</v>
      </c>
      <c r="H17" s="28">
        <f t="shared" si="0"/>
        <v>11443277</v>
      </c>
      <c r="I17" s="63">
        <f t="shared" si="1"/>
        <v>-0.11443277</v>
      </c>
      <c r="J17" s="19" t="s">
        <v>1</v>
      </c>
    </row>
    <row r="18" spans="1:12" x14ac:dyDescent="0.3">
      <c r="A18" s="37"/>
      <c r="B18" s="36" t="s">
        <v>44</v>
      </c>
      <c r="C18" s="36"/>
      <c r="D18" s="31">
        <v>62500000</v>
      </c>
      <c r="E18" s="22">
        <f t="shared" si="2"/>
        <v>0.625</v>
      </c>
      <c r="F18" s="31">
        <v>49773923</v>
      </c>
      <c r="G18" s="22">
        <f t="shared" si="2"/>
        <v>0.49773922999999998</v>
      </c>
      <c r="H18" s="28">
        <f t="shared" si="0"/>
        <v>-12726077</v>
      </c>
      <c r="I18" s="63">
        <f t="shared" si="1"/>
        <v>0.12726077000000002</v>
      </c>
      <c r="J18" s="19" t="s">
        <v>1</v>
      </c>
      <c r="L18" s="33"/>
    </row>
    <row r="19" spans="1:12" x14ac:dyDescent="0.3">
      <c r="A19" s="37"/>
      <c r="B19" s="36" t="s">
        <v>45</v>
      </c>
      <c r="C19" s="36"/>
      <c r="D19" s="30">
        <v>10000000</v>
      </c>
      <c r="E19" s="22">
        <f t="shared" si="2"/>
        <v>0.1</v>
      </c>
      <c r="F19" s="30">
        <v>10000000</v>
      </c>
      <c r="G19" s="22">
        <f t="shared" si="2"/>
        <v>0.1</v>
      </c>
      <c r="H19" s="30">
        <f t="shared" si="0"/>
        <v>0</v>
      </c>
      <c r="I19" s="62">
        <f t="shared" si="1"/>
        <v>0</v>
      </c>
      <c r="J19" s="19" t="s">
        <v>1</v>
      </c>
      <c r="L19" s="29"/>
    </row>
    <row r="20" spans="1:12" x14ac:dyDescent="0.3">
      <c r="A20" s="37"/>
      <c r="B20" s="36" t="s">
        <v>46</v>
      </c>
      <c r="C20" s="36"/>
      <c r="D20" s="30">
        <v>0</v>
      </c>
      <c r="E20" s="22">
        <f t="shared" si="2"/>
        <v>0</v>
      </c>
      <c r="F20" s="30">
        <v>0</v>
      </c>
      <c r="G20" s="22">
        <f t="shared" si="2"/>
        <v>0</v>
      </c>
      <c r="H20" s="30">
        <f t="shared" si="0"/>
        <v>0</v>
      </c>
      <c r="I20" s="62">
        <f t="shared" si="1"/>
        <v>0</v>
      </c>
      <c r="J20" s="19" t="s">
        <v>1</v>
      </c>
    </row>
    <row r="21" spans="1:12" x14ac:dyDescent="0.3">
      <c r="A21" s="37"/>
      <c r="B21" s="36" t="s">
        <v>18</v>
      </c>
      <c r="C21" s="36"/>
      <c r="D21" s="30">
        <v>0</v>
      </c>
      <c r="E21" s="22">
        <f t="shared" si="2"/>
        <v>0</v>
      </c>
      <c r="F21" s="30">
        <v>0</v>
      </c>
      <c r="G21" s="22">
        <f t="shared" si="2"/>
        <v>0</v>
      </c>
      <c r="H21" s="30">
        <f t="shared" si="0"/>
        <v>0</v>
      </c>
      <c r="I21" s="62">
        <f t="shared" si="1"/>
        <v>0</v>
      </c>
      <c r="J21" s="19" t="s">
        <v>1</v>
      </c>
    </row>
    <row r="22" spans="1:12" x14ac:dyDescent="0.3">
      <c r="A22" s="37" t="s">
        <v>19</v>
      </c>
      <c r="B22" s="36" t="s">
        <v>20</v>
      </c>
      <c r="C22" s="36"/>
      <c r="D22" s="30">
        <v>0</v>
      </c>
      <c r="E22" s="22">
        <f t="shared" si="2"/>
        <v>0</v>
      </c>
      <c r="F22" s="30">
        <v>0</v>
      </c>
      <c r="G22" s="22">
        <f t="shared" si="2"/>
        <v>0</v>
      </c>
      <c r="H22" s="30">
        <f t="shared" si="0"/>
        <v>0</v>
      </c>
      <c r="I22" s="62">
        <f t="shared" si="1"/>
        <v>0</v>
      </c>
      <c r="J22" s="19" t="s">
        <v>1</v>
      </c>
    </row>
    <row r="23" spans="1:12" x14ac:dyDescent="0.3">
      <c r="A23" s="37"/>
      <c r="B23" s="36" t="s">
        <v>21</v>
      </c>
      <c r="C23" s="36"/>
      <c r="D23" s="30">
        <v>0</v>
      </c>
      <c r="E23" s="22">
        <f t="shared" si="2"/>
        <v>0</v>
      </c>
      <c r="F23" s="30">
        <v>0</v>
      </c>
      <c r="G23" s="22">
        <f t="shared" si="2"/>
        <v>0</v>
      </c>
      <c r="H23" s="30">
        <f t="shared" si="0"/>
        <v>0</v>
      </c>
      <c r="I23" s="62">
        <f t="shared" si="1"/>
        <v>0</v>
      </c>
      <c r="J23" s="19" t="s">
        <v>1</v>
      </c>
    </row>
    <row r="24" spans="1:12" x14ac:dyDescent="0.3">
      <c r="A24" s="38" t="s">
        <v>47</v>
      </c>
      <c r="B24" s="38"/>
      <c r="C24" s="38"/>
      <c r="D24" s="27">
        <f>SUM(D15:D23)</f>
        <v>100000000</v>
      </c>
      <c r="E24" s="22">
        <f>D24/$D$24</f>
        <v>1</v>
      </c>
      <c r="F24" s="27">
        <f>SUM(F15:F23)</f>
        <v>100000000</v>
      </c>
      <c r="G24" s="22">
        <f t="shared" ref="G24" si="3">F24/$F$24</f>
        <v>1</v>
      </c>
      <c r="H24" s="30">
        <f>SUM(H15:H23)</f>
        <v>0</v>
      </c>
      <c r="I24" s="62">
        <f t="shared" si="1"/>
        <v>0</v>
      </c>
      <c r="J24" s="19" t="s">
        <v>1</v>
      </c>
    </row>
    <row r="25" spans="1:12" x14ac:dyDescent="0.3">
      <c r="A25" s="16" t="s">
        <v>1</v>
      </c>
    </row>
    <row r="26" spans="1:12" x14ac:dyDescent="0.3">
      <c r="A26" s="35" t="s">
        <v>48</v>
      </c>
      <c r="B26" s="35"/>
      <c r="C26" s="35"/>
      <c r="D26" s="35"/>
      <c r="E26" s="35"/>
      <c r="F26" s="35"/>
      <c r="G26" s="35"/>
      <c r="H26" s="35"/>
      <c r="I26" s="35"/>
      <c r="J26" s="35"/>
    </row>
    <row r="27" spans="1:12" ht="17.25" x14ac:dyDescent="0.3">
      <c r="A27" s="18" t="s">
        <v>1</v>
      </c>
    </row>
    <row r="28" spans="1:12" x14ac:dyDescent="0.3">
      <c r="A28" s="16" t="s">
        <v>1</v>
      </c>
    </row>
    <row r="29" spans="1:12" x14ac:dyDescent="0.3">
      <c r="A29" s="35" t="s">
        <v>61</v>
      </c>
      <c r="B29" s="35"/>
      <c r="C29" s="35"/>
      <c r="D29" s="35"/>
      <c r="E29" s="35"/>
      <c r="F29" s="35"/>
      <c r="G29" s="35"/>
      <c r="H29" s="35"/>
      <c r="I29" s="35"/>
      <c r="J29" s="35"/>
    </row>
    <row r="30" spans="1:12" x14ac:dyDescent="0.3">
      <c r="A30" s="16" t="s">
        <v>1</v>
      </c>
      <c r="D30" s="29"/>
    </row>
    <row r="32" spans="1:12" x14ac:dyDescent="0.3">
      <c r="E32" s="32"/>
    </row>
  </sheetData>
  <mergeCells count="30">
    <mergeCell ref="A26:J26"/>
    <mergeCell ref="F12:G12"/>
    <mergeCell ref="A10:J10"/>
    <mergeCell ref="B5:J5"/>
    <mergeCell ref="B6:E6"/>
    <mergeCell ref="B7:E7"/>
    <mergeCell ref="G6:J6"/>
    <mergeCell ref="G7:J7"/>
    <mergeCell ref="A11:J11"/>
    <mergeCell ref="B18:C18"/>
    <mergeCell ref="B19:C19"/>
    <mergeCell ref="A12:C12"/>
    <mergeCell ref="D12:E12"/>
    <mergeCell ref="A13:C14"/>
    <mergeCell ref="A1:J1"/>
    <mergeCell ref="A29:J29"/>
    <mergeCell ref="B20:C20"/>
    <mergeCell ref="B21:C21"/>
    <mergeCell ref="A22:A23"/>
    <mergeCell ref="B22:C22"/>
    <mergeCell ref="B23:C23"/>
    <mergeCell ref="A24:C24"/>
    <mergeCell ref="H12:I12"/>
    <mergeCell ref="J12:J14"/>
    <mergeCell ref="D13:D14"/>
    <mergeCell ref="F13:F14"/>
    <mergeCell ref="H13:H14"/>
    <mergeCell ref="A15:A21"/>
    <mergeCell ref="B15:B16"/>
    <mergeCell ref="B17:C1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6"/>
  <sheetViews>
    <sheetView tabSelected="1" workbookViewId="0">
      <selection activeCell="L166" sqref="L166"/>
    </sheetView>
  </sheetViews>
  <sheetFormatPr defaultRowHeight="16.5" x14ac:dyDescent="0.3"/>
  <cols>
    <col min="1" max="1" width="22.25" bestFit="1" customWidth="1"/>
    <col min="2" max="2" width="11" bestFit="1" customWidth="1"/>
    <col min="3" max="4" width="9.75" bestFit="1" customWidth="1"/>
    <col min="6" max="6" width="38.75" style="8" bestFit="1" customWidth="1"/>
    <col min="8" max="10" width="10.5" bestFit="1" customWidth="1"/>
    <col min="12" max="12" width="11.875" bestFit="1" customWidth="1"/>
  </cols>
  <sheetData>
    <row r="1" spans="1:12" s="1" customFormat="1" ht="12" x14ac:dyDescent="0.3">
      <c r="A1" s="1" t="s">
        <v>34</v>
      </c>
      <c r="F1" s="7"/>
    </row>
    <row r="2" spans="1:12" s="1" customFormat="1" ht="31.5" x14ac:dyDescent="0.3">
      <c r="A2" s="42" t="s">
        <v>50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2" x14ac:dyDescent="0.3">
      <c r="A3" t="s">
        <v>33</v>
      </c>
    </row>
    <row r="4" spans="1:12" s="1" customFormat="1" ht="21" customHeight="1" x14ac:dyDescent="0.3">
      <c r="A4" s="43" t="s">
        <v>25</v>
      </c>
      <c r="B4" s="43" t="s">
        <v>26</v>
      </c>
      <c r="C4" s="43" t="s">
        <v>24</v>
      </c>
      <c r="D4" s="43" t="s">
        <v>36</v>
      </c>
      <c r="E4" s="43" t="s">
        <v>27</v>
      </c>
      <c r="F4" s="44" t="s">
        <v>22</v>
      </c>
      <c r="G4" s="43" t="s">
        <v>28</v>
      </c>
      <c r="H4" s="43" t="s">
        <v>23</v>
      </c>
      <c r="I4" s="43"/>
      <c r="J4" s="43"/>
      <c r="K4" s="43" t="s">
        <v>32</v>
      </c>
    </row>
    <row r="5" spans="1:12" s="1" customFormat="1" ht="21" customHeight="1" x14ac:dyDescent="0.3">
      <c r="A5" s="43"/>
      <c r="B5" s="43"/>
      <c r="C5" s="43"/>
      <c r="D5" s="43"/>
      <c r="E5" s="43"/>
      <c r="F5" s="44"/>
      <c r="G5" s="43"/>
      <c r="H5" s="2" t="s">
        <v>29</v>
      </c>
      <c r="I5" s="2" t="s">
        <v>30</v>
      </c>
      <c r="J5" s="2" t="s">
        <v>31</v>
      </c>
      <c r="K5" s="43"/>
    </row>
    <row r="6" spans="1:12" s="1" customFormat="1" ht="21" customHeight="1" x14ac:dyDescent="0.3">
      <c r="A6" s="3" t="s">
        <v>51</v>
      </c>
      <c r="B6" s="56" t="s">
        <v>56</v>
      </c>
      <c r="C6" s="6">
        <v>43539</v>
      </c>
      <c r="D6" s="6"/>
      <c r="E6" s="3" t="s">
        <v>62</v>
      </c>
      <c r="F6" s="54" t="s">
        <v>63</v>
      </c>
      <c r="G6" s="3" t="s">
        <v>64</v>
      </c>
      <c r="H6" s="9">
        <v>20000</v>
      </c>
      <c r="I6" s="9">
        <v>20000</v>
      </c>
      <c r="J6" s="3"/>
      <c r="K6" s="3"/>
      <c r="L6" s="55"/>
    </row>
    <row r="7" spans="1:12" s="1" customFormat="1" ht="21" customHeight="1" x14ac:dyDescent="0.3">
      <c r="A7" s="3" t="s">
        <v>51</v>
      </c>
      <c r="B7" s="56" t="s">
        <v>56</v>
      </c>
      <c r="C7" s="6">
        <v>43539</v>
      </c>
      <c r="D7" s="6"/>
      <c r="E7" s="3" t="s">
        <v>62</v>
      </c>
      <c r="F7" s="54" t="s">
        <v>65</v>
      </c>
      <c r="G7" s="3" t="s">
        <v>71</v>
      </c>
      <c r="H7" s="9">
        <v>1281400</v>
      </c>
      <c r="I7" s="9">
        <v>1281400</v>
      </c>
      <c r="J7" s="3"/>
      <c r="K7" s="3"/>
      <c r="L7" s="55"/>
    </row>
    <row r="8" spans="1:12" s="1" customFormat="1" ht="21" customHeight="1" x14ac:dyDescent="0.3">
      <c r="A8" s="3" t="s">
        <v>51</v>
      </c>
      <c r="B8" s="56" t="s">
        <v>56</v>
      </c>
      <c r="C8" s="6">
        <v>43539</v>
      </c>
      <c r="D8" s="6"/>
      <c r="E8" s="3" t="s">
        <v>62</v>
      </c>
      <c r="F8" s="54" t="s">
        <v>66</v>
      </c>
      <c r="G8" s="3" t="s">
        <v>76</v>
      </c>
      <c r="H8" s="9">
        <v>20000</v>
      </c>
      <c r="I8" s="9">
        <v>20000</v>
      </c>
      <c r="J8" s="3"/>
      <c r="K8" s="3"/>
      <c r="L8" s="55"/>
    </row>
    <row r="9" spans="1:12" s="1" customFormat="1" ht="21" customHeight="1" x14ac:dyDescent="0.3">
      <c r="A9" s="3" t="s">
        <v>51</v>
      </c>
      <c r="B9" s="56" t="s">
        <v>56</v>
      </c>
      <c r="C9" s="6">
        <v>43539</v>
      </c>
      <c r="D9" s="6"/>
      <c r="E9" s="3" t="s">
        <v>62</v>
      </c>
      <c r="F9" s="54" t="s">
        <v>67</v>
      </c>
      <c r="G9" s="3" t="s">
        <v>77</v>
      </c>
      <c r="H9" s="9">
        <v>20000</v>
      </c>
      <c r="I9" s="9">
        <v>20000</v>
      </c>
      <c r="J9" s="3"/>
      <c r="K9" s="3"/>
      <c r="L9" s="55"/>
    </row>
    <row r="10" spans="1:12" s="1" customFormat="1" ht="21" customHeight="1" x14ac:dyDescent="0.3">
      <c r="A10" s="3" t="s">
        <v>51</v>
      </c>
      <c r="B10" s="56" t="s">
        <v>56</v>
      </c>
      <c r="C10" s="6">
        <v>43539</v>
      </c>
      <c r="D10" s="6"/>
      <c r="E10" s="3" t="s">
        <v>62</v>
      </c>
      <c r="F10" s="54" t="s">
        <v>68</v>
      </c>
      <c r="G10" s="3" t="s">
        <v>78</v>
      </c>
      <c r="H10" s="9">
        <v>20000</v>
      </c>
      <c r="I10" s="9">
        <v>20000</v>
      </c>
      <c r="J10" s="3"/>
      <c r="K10" s="3"/>
      <c r="L10" s="55"/>
    </row>
    <row r="11" spans="1:12" s="1" customFormat="1" ht="21" customHeight="1" x14ac:dyDescent="0.3">
      <c r="A11" s="3" t="s">
        <v>51</v>
      </c>
      <c r="B11" s="56" t="s">
        <v>56</v>
      </c>
      <c r="C11" s="6">
        <v>43539</v>
      </c>
      <c r="D11" s="6"/>
      <c r="E11" s="3" t="s">
        <v>62</v>
      </c>
      <c r="F11" s="54" t="s">
        <v>69</v>
      </c>
      <c r="G11" s="3" t="s">
        <v>79</v>
      </c>
      <c r="H11" s="9">
        <v>20000</v>
      </c>
      <c r="I11" s="9">
        <v>20000</v>
      </c>
      <c r="J11" s="3"/>
      <c r="K11" s="3"/>
      <c r="L11" s="55"/>
    </row>
    <row r="12" spans="1:12" s="1" customFormat="1" ht="21" customHeight="1" x14ac:dyDescent="0.3">
      <c r="A12" s="3" t="s">
        <v>51</v>
      </c>
      <c r="B12" s="56" t="s">
        <v>56</v>
      </c>
      <c r="C12" s="6">
        <v>43539</v>
      </c>
      <c r="D12" s="6"/>
      <c r="E12" s="3" t="s">
        <v>62</v>
      </c>
      <c r="F12" s="54" t="s">
        <v>70</v>
      </c>
      <c r="G12" s="3" t="s">
        <v>80</v>
      </c>
      <c r="H12" s="9">
        <v>20000</v>
      </c>
      <c r="I12" s="9">
        <v>20000</v>
      </c>
      <c r="J12" s="3"/>
      <c r="K12" s="3"/>
      <c r="L12" s="55"/>
    </row>
    <row r="13" spans="1:12" s="1" customFormat="1" ht="21" customHeight="1" x14ac:dyDescent="0.3">
      <c r="A13" s="3" t="s">
        <v>51</v>
      </c>
      <c r="B13" s="56" t="s">
        <v>56</v>
      </c>
      <c r="C13" s="6">
        <v>43557</v>
      </c>
      <c r="D13" s="6"/>
      <c r="E13" s="3" t="s">
        <v>62</v>
      </c>
      <c r="F13" s="54" t="s">
        <v>81</v>
      </c>
      <c r="G13" s="3" t="s">
        <v>64</v>
      </c>
      <c r="H13" s="9">
        <v>20000</v>
      </c>
      <c r="I13" s="9">
        <v>20000</v>
      </c>
      <c r="J13" s="3"/>
      <c r="K13" s="3"/>
      <c r="L13" s="55"/>
    </row>
    <row r="14" spans="1:12" s="1" customFormat="1" ht="21" customHeight="1" x14ac:dyDescent="0.3">
      <c r="A14" s="3" t="s">
        <v>51</v>
      </c>
      <c r="B14" s="56" t="s">
        <v>56</v>
      </c>
      <c r="C14" s="6">
        <v>43557</v>
      </c>
      <c r="D14" s="6"/>
      <c r="E14" s="3" t="s">
        <v>62</v>
      </c>
      <c r="F14" s="54" t="s">
        <v>82</v>
      </c>
      <c r="G14" s="3" t="s">
        <v>71</v>
      </c>
      <c r="H14" s="9">
        <v>1281400</v>
      </c>
      <c r="I14" s="9">
        <v>1281400</v>
      </c>
      <c r="J14" s="3"/>
      <c r="K14" s="3"/>
      <c r="L14" s="55"/>
    </row>
    <row r="15" spans="1:12" s="1" customFormat="1" ht="21" customHeight="1" x14ac:dyDescent="0.3">
      <c r="A15" s="3" t="s">
        <v>51</v>
      </c>
      <c r="B15" s="56" t="s">
        <v>56</v>
      </c>
      <c r="C15" s="6">
        <v>43559</v>
      </c>
      <c r="D15" s="6"/>
      <c r="E15" s="3" t="s">
        <v>62</v>
      </c>
      <c r="F15" s="54" t="s">
        <v>84</v>
      </c>
      <c r="G15" s="3" t="s">
        <v>76</v>
      </c>
      <c r="H15" s="9">
        <v>20000</v>
      </c>
      <c r="I15" s="9">
        <v>20000</v>
      </c>
      <c r="J15" s="3"/>
      <c r="K15" s="3"/>
      <c r="L15" s="55"/>
    </row>
    <row r="16" spans="1:12" s="1" customFormat="1" ht="21" customHeight="1" x14ac:dyDescent="0.3">
      <c r="A16" s="3" t="s">
        <v>51</v>
      </c>
      <c r="B16" s="56" t="s">
        <v>56</v>
      </c>
      <c r="C16" s="6">
        <v>43559</v>
      </c>
      <c r="D16" s="6"/>
      <c r="E16" s="3" t="s">
        <v>62</v>
      </c>
      <c r="F16" s="54" t="s">
        <v>85</v>
      </c>
      <c r="G16" s="3" t="s">
        <v>77</v>
      </c>
      <c r="H16" s="9">
        <v>20000</v>
      </c>
      <c r="I16" s="9">
        <v>20000</v>
      </c>
      <c r="J16" s="3"/>
      <c r="K16" s="3"/>
      <c r="L16" s="55"/>
    </row>
    <row r="17" spans="1:12" s="1" customFormat="1" ht="21" customHeight="1" x14ac:dyDescent="0.3">
      <c r="A17" s="3" t="s">
        <v>51</v>
      </c>
      <c r="B17" s="56" t="s">
        <v>56</v>
      </c>
      <c r="C17" s="6">
        <v>43559</v>
      </c>
      <c r="D17" s="6"/>
      <c r="E17" s="3" t="s">
        <v>62</v>
      </c>
      <c r="F17" s="54" t="s">
        <v>86</v>
      </c>
      <c r="G17" s="3" t="s">
        <v>78</v>
      </c>
      <c r="H17" s="9">
        <v>20000</v>
      </c>
      <c r="I17" s="9">
        <v>20000</v>
      </c>
      <c r="J17" s="3"/>
      <c r="K17" s="3"/>
      <c r="L17" s="55"/>
    </row>
    <row r="18" spans="1:12" s="1" customFormat="1" ht="21" customHeight="1" x14ac:dyDescent="0.3">
      <c r="A18" s="3" t="s">
        <v>51</v>
      </c>
      <c r="B18" s="56" t="s">
        <v>56</v>
      </c>
      <c r="C18" s="6">
        <v>43559</v>
      </c>
      <c r="D18" s="6"/>
      <c r="E18" s="3" t="s">
        <v>62</v>
      </c>
      <c r="F18" s="54" t="s">
        <v>87</v>
      </c>
      <c r="G18" s="3" t="s">
        <v>79</v>
      </c>
      <c r="H18" s="9">
        <v>20000</v>
      </c>
      <c r="I18" s="9">
        <v>20000</v>
      </c>
      <c r="J18" s="3"/>
      <c r="K18" s="3"/>
      <c r="L18" s="55"/>
    </row>
    <row r="19" spans="1:12" s="1" customFormat="1" ht="21" customHeight="1" x14ac:dyDescent="0.3">
      <c r="A19" s="3" t="s">
        <v>51</v>
      </c>
      <c r="B19" s="56" t="s">
        <v>56</v>
      </c>
      <c r="C19" s="6">
        <v>43559</v>
      </c>
      <c r="D19" s="6"/>
      <c r="E19" s="3" t="s">
        <v>62</v>
      </c>
      <c r="F19" s="54" t="s">
        <v>88</v>
      </c>
      <c r="G19" s="3" t="s">
        <v>80</v>
      </c>
      <c r="H19" s="9">
        <v>20000</v>
      </c>
      <c r="I19" s="9">
        <v>20000</v>
      </c>
      <c r="J19" s="3"/>
      <c r="K19" s="3"/>
      <c r="L19" s="55"/>
    </row>
    <row r="20" spans="1:12" s="1" customFormat="1" ht="21" customHeight="1" x14ac:dyDescent="0.3">
      <c r="A20" s="3" t="s">
        <v>51</v>
      </c>
      <c r="B20" s="56" t="s">
        <v>56</v>
      </c>
      <c r="C20" s="6">
        <v>43559</v>
      </c>
      <c r="D20" s="6"/>
      <c r="E20" s="3" t="s">
        <v>62</v>
      </c>
      <c r="F20" s="54" t="s">
        <v>83</v>
      </c>
      <c r="G20" s="3" t="s">
        <v>89</v>
      </c>
      <c r="H20" s="9">
        <v>20000</v>
      </c>
      <c r="I20" s="9">
        <v>20000</v>
      </c>
      <c r="J20" s="3"/>
      <c r="K20" s="3"/>
      <c r="L20" s="55"/>
    </row>
    <row r="21" spans="1:12" s="1" customFormat="1" ht="21" customHeight="1" x14ac:dyDescent="0.3">
      <c r="A21" s="3" t="s">
        <v>51</v>
      </c>
      <c r="B21" s="56" t="s">
        <v>56</v>
      </c>
      <c r="C21" s="6">
        <v>43587</v>
      </c>
      <c r="D21" s="6"/>
      <c r="E21" s="3" t="s">
        <v>62</v>
      </c>
      <c r="F21" s="54" t="s">
        <v>90</v>
      </c>
      <c r="G21" s="3" t="s">
        <v>98</v>
      </c>
      <c r="H21" s="9">
        <v>20000</v>
      </c>
      <c r="I21" s="9">
        <v>20000</v>
      </c>
      <c r="J21" s="3"/>
      <c r="K21" s="3"/>
      <c r="L21" s="55"/>
    </row>
    <row r="22" spans="1:12" s="1" customFormat="1" ht="21" customHeight="1" x14ac:dyDescent="0.3">
      <c r="A22" s="3" t="s">
        <v>51</v>
      </c>
      <c r="B22" s="56" t="s">
        <v>56</v>
      </c>
      <c r="C22" s="6">
        <v>43601</v>
      </c>
      <c r="D22" s="6"/>
      <c r="E22" s="3" t="s">
        <v>62</v>
      </c>
      <c r="F22" s="54" t="s">
        <v>94</v>
      </c>
      <c r="G22" s="3" t="s">
        <v>72</v>
      </c>
      <c r="H22" s="9">
        <v>20000</v>
      </c>
      <c r="I22" s="9">
        <v>20000</v>
      </c>
      <c r="J22" s="3"/>
      <c r="K22" s="3"/>
      <c r="L22" s="55"/>
    </row>
    <row r="23" spans="1:12" s="1" customFormat="1" ht="21" customHeight="1" x14ac:dyDescent="0.3">
      <c r="A23" s="3" t="s">
        <v>51</v>
      </c>
      <c r="B23" s="56" t="s">
        <v>56</v>
      </c>
      <c r="C23" s="6">
        <v>43601</v>
      </c>
      <c r="D23" s="6"/>
      <c r="E23" s="3" t="s">
        <v>62</v>
      </c>
      <c r="F23" s="54" t="s">
        <v>95</v>
      </c>
      <c r="G23" s="3" t="s">
        <v>73</v>
      </c>
      <c r="H23" s="9">
        <v>20000</v>
      </c>
      <c r="I23" s="9">
        <v>20000</v>
      </c>
      <c r="J23" s="3"/>
      <c r="K23" s="3"/>
      <c r="L23" s="55"/>
    </row>
    <row r="24" spans="1:12" s="1" customFormat="1" ht="21" customHeight="1" x14ac:dyDescent="0.3">
      <c r="A24" s="3" t="s">
        <v>51</v>
      </c>
      <c r="B24" s="56" t="s">
        <v>56</v>
      </c>
      <c r="C24" s="6">
        <v>43601</v>
      </c>
      <c r="D24" s="6"/>
      <c r="E24" s="3" t="s">
        <v>62</v>
      </c>
      <c r="F24" s="54" t="s">
        <v>96</v>
      </c>
      <c r="G24" s="3" t="s">
        <v>74</v>
      </c>
      <c r="H24" s="9">
        <v>20000</v>
      </c>
      <c r="I24" s="9">
        <v>20000</v>
      </c>
      <c r="J24" s="3"/>
      <c r="K24" s="3"/>
      <c r="L24" s="55"/>
    </row>
    <row r="25" spans="1:12" s="1" customFormat="1" ht="21" customHeight="1" x14ac:dyDescent="0.3">
      <c r="A25" s="3" t="s">
        <v>51</v>
      </c>
      <c r="B25" s="56" t="s">
        <v>56</v>
      </c>
      <c r="C25" s="6">
        <v>43601</v>
      </c>
      <c r="D25" s="6"/>
      <c r="E25" s="3" t="s">
        <v>62</v>
      </c>
      <c r="F25" s="54" t="s">
        <v>97</v>
      </c>
      <c r="G25" s="3" t="s">
        <v>75</v>
      </c>
      <c r="H25" s="9">
        <v>20000</v>
      </c>
      <c r="I25" s="9">
        <v>20000</v>
      </c>
      <c r="J25" s="3"/>
      <c r="K25" s="3"/>
      <c r="L25" s="55"/>
    </row>
    <row r="26" spans="1:12" s="1" customFormat="1" ht="21" customHeight="1" x14ac:dyDescent="0.3">
      <c r="A26" s="3" t="s">
        <v>51</v>
      </c>
      <c r="B26" s="56" t="s">
        <v>56</v>
      </c>
      <c r="C26" s="6">
        <v>43601</v>
      </c>
      <c r="D26" s="6"/>
      <c r="E26" s="3" t="s">
        <v>62</v>
      </c>
      <c r="F26" s="54" t="s">
        <v>91</v>
      </c>
      <c r="G26" s="3" t="s">
        <v>99</v>
      </c>
      <c r="H26" s="9">
        <v>20000</v>
      </c>
      <c r="I26" s="9">
        <v>20000</v>
      </c>
      <c r="J26" s="3"/>
      <c r="K26" s="3"/>
      <c r="L26" s="55"/>
    </row>
    <row r="27" spans="1:12" s="1" customFormat="1" ht="21" customHeight="1" x14ac:dyDescent="0.3">
      <c r="A27" s="3" t="s">
        <v>51</v>
      </c>
      <c r="B27" s="56" t="s">
        <v>56</v>
      </c>
      <c r="C27" s="6">
        <v>43601</v>
      </c>
      <c r="D27" s="6"/>
      <c r="E27" s="3" t="s">
        <v>62</v>
      </c>
      <c r="F27" s="54" t="s">
        <v>92</v>
      </c>
      <c r="G27" s="3" t="s">
        <v>100</v>
      </c>
      <c r="H27" s="9">
        <v>20000</v>
      </c>
      <c r="I27" s="9">
        <v>20000</v>
      </c>
      <c r="J27" s="3"/>
      <c r="K27" s="3"/>
      <c r="L27" s="55"/>
    </row>
    <row r="28" spans="1:12" s="1" customFormat="1" ht="21" customHeight="1" x14ac:dyDescent="0.3">
      <c r="A28" s="3" t="s">
        <v>51</v>
      </c>
      <c r="B28" s="56" t="s">
        <v>56</v>
      </c>
      <c r="C28" s="6">
        <v>43601</v>
      </c>
      <c r="D28" s="6"/>
      <c r="E28" s="3" t="s">
        <v>62</v>
      </c>
      <c r="F28" s="54" t="s">
        <v>93</v>
      </c>
      <c r="G28" s="3" t="s">
        <v>101</v>
      </c>
      <c r="H28" s="9">
        <v>20000</v>
      </c>
      <c r="I28" s="9">
        <v>20000</v>
      </c>
      <c r="J28" s="3"/>
      <c r="K28" s="3"/>
      <c r="L28" s="55"/>
    </row>
    <row r="29" spans="1:12" s="1" customFormat="1" ht="21" customHeight="1" x14ac:dyDescent="0.3">
      <c r="A29" s="3" t="s">
        <v>51</v>
      </c>
      <c r="B29" s="56" t="s">
        <v>56</v>
      </c>
      <c r="C29" s="6">
        <v>43619</v>
      </c>
      <c r="D29" s="6"/>
      <c r="E29" s="3" t="s">
        <v>62</v>
      </c>
      <c r="F29" s="54" t="s">
        <v>102</v>
      </c>
      <c r="G29" s="3" t="s">
        <v>110</v>
      </c>
      <c r="H29" s="9">
        <v>20000</v>
      </c>
      <c r="I29" s="9">
        <v>20000</v>
      </c>
      <c r="J29" s="3"/>
      <c r="K29" s="3"/>
      <c r="L29" s="55"/>
    </row>
    <row r="30" spans="1:12" s="1" customFormat="1" ht="21" customHeight="1" x14ac:dyDescent="0.3">
      <c r="A30" s="3" t="s">
        <v>51</v>
      </c>
      <c r="B30" s="56" t="s">
        <v>56</v>
      </c>
      <c r="C30" s="6">
        <v>43619</v>
      </c>
      <c r="D30" s="6"/>
      <c r="E30" s="3" t="s">
        <v>62</v>
      </c>
      <c r="F30" s="54" t="s">
        <v>103</v>
      </c>
      <c r="G30" s="3" t="s">
        <v>72</v>
      </c>
      <c r="H30" s="9">
        <v>20000</v>
      </c>
      <c r="I30" s="9">
        <v>20000</v>
      </c>
      <c r="J30" s="3"/>
      <c r="K30" s="3"/>
      <c r="L30" s="55"/>
    </row>
    <row r="31" spans="1:12" s="1" customFormat="1" ht="21" customHeight="1" x14ac:dyDescent="0.3">
      <c r="A31" s="3" t="s">
        <v>51</v>
      </c>
      <c r="B31" s="56" t="s">
        <v>56</v>
      </c>
      <c r="C31" s="6">
        <v>43619</v>
      </c>
      <c r="D31" s="6"/>
      <c r="E31" s="3" t="s">
        <v>62</v>
      </c>
      <c r="F31" s="54" t="s">
        <v>104</v>
      </c>
      <c r="G31" s="3" t="s">
        <v>73</v>
      </c>
      <c r="H31" s="9">
        <v>20000</v>
      </c>
      <c r="I31" s="9">
        <v>20000</v>
      </c>
      <c r="J31" s="3"/>
      <c r="K31" s="3"/>
      <c r="L31" s="55"/>
    </row>
    <row r="32" spans="1:12" s="1" customFormat="1" ht="21" customHeight="1" x14ac:dyDescent="0.3">
      <c r="A32" s="3" t="s">
        <v>51</v>
      </c>
      <c r="B32" s="56" t="s">
        <v>56</v>
      </c>
      <c r="C32" s="6">
        <v>43619</v>
      </c>
      <c r="D32" s="6"/>
      <c r="E32" s="3" t="s">
        <v>62</v>
      </c>
      <c r="F32" s="54" t="s">
        <v>105</v>
      </c>
      <c r="G32" s="3" t="s">
        <v>74</v>
      </c>
      <c r="H32" s="9">
        <v>20000</v>
      </c>
      <c r="I32" s="9">
        <v>20000</v>
      </c>
      <c r="J32" s="3"/>
      <c r="K32" s="3"/>
      <c r="L32" s="55"/>
    </row>
    <row r="33" spans="1:12" s="1" customFormat="1" ht="21" customHeight="1" x14ac:dyDescent="0.3">
      <c r="A33" s="3" t="s">
        <v>51</v>
      </c>
      <c r="B33" s="56" t="s">
        <v>56</v>
      </c>
      <c r="C33" s="6">
        <v>43619</v>
      </c>
      <c r="D33" s="6"/>
      <c r="E33" s="3" t="s">
        <v>62</v>
      </c>
      <c r="F33" s="54" t="s">
        <v>106</v>
      </c>
      <c r="G33" s="3" t="s">
        <v>75</v>
      </c>
      <c r="H33" s="9">
        <v>20000</v>
      </c>
      <c r="I33" s="9">
        <v>20000</v>
      </c>
      <c r="J33" s="3"/>
      <c r="K33" s="3"/>
      <c r="L33" s="55"/>
    </row>
    <row r="34" spans="1:12" s="1" customFormat="1" ht="21" customHeight="1" x14ac:dyDescent="0.3">
      <c r="A34" s="3" t="s">
        <v>51</v>
      </c>
      <c r="B34" s="56" t="s">
        <v>56</v>
      </c>
      <c r="C34" s="6">
        <v>43619</v>
      </c>
      <c r="D34" s="6"/>
      <c r="E34" s="3" t="s">
        <v>62</v>
      </c>
      <c r="F34" s="54" t="s">
        <v>107</v>
      </c>
      <c r="G34" s="3" t="s">
        <v>99</v>
      </c>
      <c r="H34" s="9">
        <v>20000</v>
      </c>
      <c r="I34" s="9">
        <v>20000</v>
      </c>
      <c r="J34" s="3"/>
      <c r="K34" s="3"/>
      <c r="L34" s="55"/>
    </row>
    <row r="35" spans="1:12" s="1" customFormat="1" ht="21" customHeight="1" x14ac:dyDescent="0.3">
      <c r="A35" s="3" t="s">
        <v>51</v>
      </c>
      <c r="B35" s="56" t="s">
        <v>56</v>
      </c>
      <c r="C35" s="6">
        <v>43619</v>
      </c>
      <c r="D35" s="6"/>
      <c r="E35" s="3" t="s">
        <v>62</v>
      </c>
      <c r="F35" s="54" t="s">
        <v>108</v>
      </c>
      <c r="G35" s="3" t="s">
        <v>100</v>
      </c>
      <c r="H35" s="9">
        <v>20000</v>
      </c>
      <c r="I35" s="9">
        <v>20000</v>
      </c>
      <c r="J35" s="3"/>
      <c r="K35" s="3"/>
      <c r="L35" s="55"/>
    </row>
    <row r="36" spans="1:12" s="1" customFormat="1" ht="21" customHeight="1" x14ac:dyDescent="0.3">
      <c r="A36" s="3" t="s">
        <v>51</v>
      </c>
      <c r="B36" s="56" t="s">
        <v>56</v>
      </c>
      <c r="C36" s="6">
        <v>43619</v>
      </c>
      <c r="D36" s="6"/>
      <c r="E36" s="3" t="s">
        <v>62</v>
      </c>
      <c r="F36" s="54" t="s">
        <v>109</v>
      </c>
      <c r="G36" s="3" t="s">
        <v>101</v>
      </c>
      <c r="H36" s="9">
        <v>20000</v>
      </c>
      <c r="I36" s="9">
        <v>20000</v>
      </c>
      <c r="J36" s="3"/>
      <c r="K36" s="3"/>
      <c r="L36" s="55"/>
    </row>
    <row r="37" spans="1:12" s="1" customFormat="1" ht="21" customHeight="1" x14ac:dyDescent="0.3">
      <c r="A37" s="3" t="s">
        <v>51</v>
      </c>
      <c r="B37" s="56" t="s">
        <v>56</v>
      </c>
      <c r="C37" s="6">
        <v>43661</v>
      </c>
      <c r="D37" s="6"/>
      <c r="E37" s="3" t="s">
        <v>62</v>
      </c>
      <c r="F37" s="54" t="s">
        <v>111</v>
      </c>
      <c r="G37" s="3" t="s">
        <v>110</v>
      </c>
      <c r="H37" s="9">
        <v>20000</v>
      </c>
      <c r="I37" s="9">
        <v>20000</v>
      </c>
      <c r="J37" s="3"/>
      <c r="K37" s="3"/>
      <c r="L37" s="55"/>
    </row>
    <row r="38" spans="1:12" s="1" customFormat="1" ht="21" customHeight="1" x14ac:dyDescent="0.3">
      <c r="A38" s="3" t="s">
        <v>51</v>
      </c>
      <c r="B38" s="56" t="s">
        <v>56</v>
      </c>
      <c r="C38" s="6">
        <v>43661</v>
      </c>
      <c r="D38" s="6"/>
      <c r="E38" s="3" t="s">
        <v>62</v>
      </c>
      <c r="F38" s="54" t="s">
        <v>112</v>
      </c>
      <c r="G38" s="3" t="s">
        <v>72</v>
      </c>
      <c r="H38" s="9">
        <v>20000</v>
      </c>
      <c r="I38" s="9">
        <v>20000</v>
      </c>
      <c r="J38" s="3"/>
      <c r="K38" s="3"/>
      <c r="L38" s="55"/>
    </row>
    <row r="39" spans="1:12" s="1" customFormat="1" ht="21" customHeight="1" x14ac:dyDescent="0.3">
      <c r="A39" s="3" t="s">
        <v>51</v>
      </c>
      <c r="B39" s="56" t="s">
        <v>56</v>
      </c>
      <c r="C39" s="6">
        <v>43661</v>
      </c>
      <c r="D39" s="6"/>
      <c r="E39" s="3" t="s">
        <v>62</v>
      </c>
      <c r="F39" s="54" t="s">
        <v>113</v>
      </c>
      <c r="G39" s="3" t="s">
        <v>73</v>
      </c>
      <c r="H39" s="9">
        <v>20000</v>
      </c>
      <c r="I39" s="9">
        <v>20000</v>
      </c>
      <c r="J39" s="3"/>
      <c r="K39" s="3"/>
      <c r="L39" s="55"/>
    </row>
    <row r="40" spans="1:12" s="1" customFormat="1" ht="21" customHeight="1" x14ac:dyDescent="0.3">
      <c r="A40" s="3" t="s">
        <v>51</v>
      </c>
      <c r="B40" s="56" t="s">
        <v>56</v>
      </c>
      <c r="C40" s="6">
        <v>43661</v>
      </c>
      <c r="D40" s="6"/>
      <c r="E40" s="3" t="s">
        <v>62</v>
      </c>
      <c r="F40" s="54" t="s">
        <v>114</v>
      </c>
      <c r="G40" s="3" t="s">
        <v>74</v>
      </c>
      <c r="H40" s="9">
        <v>20000</v>
      </c>
      <c r="I40" s="9">
        <v>20000</v>
      </c>
      <c r="J40" s="3"/>
      <c r="K40" s="3"/>
      <c r="L40" s="55"/>
    </row>
    <row r="41" spans="1:12" s="1" customFormat="1" ht="21" customHeight="1" x14ac:dyDescent="0.3">
      <c r="A41" s="3" t="s">
        <v>51</v>
      </c>
      <c r="B41" s="56" t="s">
        <v>56</v>
      </c>
      <c r="C41" s="6">
        <v>43661</v>
      </c>
      <c r="D41" s="6"/>
      <c r="E41" s="3" t="s">
        <v>62</v>
      </c>
      <c r="F41" s="54" t="s">
        <v>115</v>
      </c>
      <c r="G41" s="3" t="s">
        <v>75</v>
      </c>
      <c r="H41" s="9">
        <v>20000</v>
      </c>
      <c r="I41" s="9">
        <v>20000</v>
      </c>
      <c r="J41" s="3"/>
      <c r="K41" s="3"/>
      <c r="L41" s="55"/>
    </row>
    <row r="42" spans="1:12" s="1" customFormat="1" ht="21" customHeight="1" x14ac:dyDescent="0.3">
      <c r="A42" s="3" t="s">
        <v>51</v>
      </c>
      <c r="B42" s="56" t="s">
        <v>56</v>
      </c>
      <c r="C42" s="6">
        <v>43661</v>
      </c>
      <c r="D42" s="6"/>
      <c r="E42" s="3" t="s">
        <v>62</v>
      </c>
      <c r="F42" s="54" t="s">
        <v>116</v>
      </c>
      <c r="G42" s="3" t="s">
        <v>99</v>
      </c>
      <c r="H42" s="9">
        <v>20000</v>
      </c>
      <c r="I42" s="9">
        <v>20000</v>
      </c>
      <c r="J42" s="3"/>
      <c r="K42" s="3"/>
      <c r="L42" s="55"/>
    </row>
    <row r="43" spans="1:12" s="1" customFormat="1" ht="21" customHeight="1" x14ac:dyDescent="0.3">
      <c r="A43" s="3" t="s">
        <v>51</v>
      </c>
      <c r="B43" s="56" t="s">
        <v>56</v>
      </c>
      <c r="C43" s="6">
        <v>43661</v>
      </c>
      <c r="D43" s="6"/>
      <c r="E43" s="3" t="s">
        <v>62</v>
      </c>
      <c r="F43" s="54" t="s">
        <v>117</v>
      </c>
      <c r="G43" s="3" t="s">
        <v>100</v>
      </c>
      <c r="H43" s="9">
        <v>20000</v>
      </c>
      <c r="I43" s="9">
        <v>20000</v>
      </c>
      <c r="J43" s="3"/>
      <c r="K43" s="3"/>
      <c r="L43" s="55"/>
    </row>
    <row r="44" spans="1:12" s="1" customFormat="1" ht="21" customHeight="1" x14ac:dyDescent="0.3">
      <c r="A44" s="3" t="s">
        <v>51</v>
      </c>
      <c r="B44" s="56" t="s">
        <v>56</v>
      </c>
      <c r="C44" s="6">
        <v>43661</v>
      </c>
      <c r="D44" s="6"/>
      <c r="E44" s="3" t="s">
        <v>62</v>
      </c>
      <c r="F44" s="54" t="s">
        <v>118</v>
      </c>
      <c r="G44" s="3" t="s">
        <v>101</v>
      </c>
      <c r="H44" s="9">
        <v>20000</v>
      </c>
      <c r="I44" s="9">
        <v>20000</v>
      </c>
      <c r="J44" s="3"/>
      <c r="K44" s="3"/>
      <c r="L44" s="55"/>
    </row>
    <row r="45" spans="1:12" s="1" customFormat="1" ht="21" customHeight="1" x14ac:dyDescent="0.3">
      <c r="A45" s="3" t="s">
        <v>51</v>
      </c>
      <c r="B45" s="56" t="s">
        <v>56</v>
      </c>
      <c r="C45" s="6">
        <v>43686</v>
      </c>
      <c r="D45" s="6"/>
      <c r="E45" s="3" t="s">
        <v>62</v>
      </c>
      <c r="F45" s="54" t="s">
        <v>119</v>
      </c>
      <c r="G45" s="3" t="s">
        <v>110</v>
      </c>
      <c r="H45" s="9">
        <v>20000</v>
      </c>
      <c r="I45" s="9">
        <v>20000</v>
      </c>
      <c r="J45" s="3"/>
      <c r="K45" s="3"/>
      <c r="L45" s="55"/>
    </row>
    <row r="46" spans="1:12" s="1" customFormat="1" ht="21" customHeight="1" x14ac:dyDescent="0.3">
      <c r="A46" s="3" t="s">
        <v>51</v>
      </c>
      <c r="B46" s="56" t="s">
        <v>56</v>
      </c>
      <c r="C46" s="6">
        <v>43686</v>
      </c>
      <c r="D46" s="6"/>
      <c r="E46" s="3" t="s">
        <v>62</v>
      </c>
      <c r="F46" s="54" t="s">
        <v>120</v>
      </c>
      <c r="G46" s="3" t="s">
        <v>72</v>
      </c>
      <c r="H46" s="9">
        <v>20000</v>
      </c>
      <c r="I46" s="9">
        <v>20000</v>
      </c>
      <c r="J46" s="3"/>
      <c r="K46" s="3"/>
      <c r="L46" s="55"/>
    </row>
    <row r="47" spans="1:12" s="1" customFormat="1" ht="21" customHeight="1" x14ac:dyDescent="0.3">
      <c r="A47" s="3" t="s">
        <v>51</v>
      </c>
      <c r="B47" s="56" t="s">
        <v>56</v>
      </c>
      <c r="C47" s="6">
        <v>43686</v>
      </c>
      <c r="D47" s="6"/>
      <c r="E47" s="3" t="s">
        <v>62</v>
      </c>
      <c r="F47" s="54" t="s">
        <v>121</v>
      </c>
      <c r="G47" s="3" t="s">
        <v>74</v>
      </c>
      <c r="H47" s="9">
        <v>20000</v>
      </c>
      <c r="I47" s="9">
        <v>20000</v>
      </c>
      <c r="J47" s="3"/>
      <c r="K47" s="3"/>
      <c r="L47" s="55"/>
    </row>
    <row r="48" spans="1:12" s="1" customFormat="1" ht="21" customHeight="1" x14ac:dyDescent="0.3">
      <c r="A48" s="3" t="s">
        <v>51</v>
      </c>
      <c r="B48" s="56" t="s">
        <v>56</v>
      </c>
      <c r="C48" s="6">
        <v>43686</v>
      </c>
      <c r="D48" s="6"/>
      <c r="E48" s="3" t="s">
        <v>62</v>
      </c>
      <c r="F48" s="54" t="s">
        <v>122</v>
      </c>
      <c r="G48" s="3" t="s">
        <v>99</v>
      </c>
      <c r="H48" s="9">
        <v>20000</v>
      </c>
      <c r="I48" s="9">
        <v>20000</v>
      </c>
      <c r="J48" s="3"/>
      <c r="K48" s="3"/>
      <c r="L48" s="55"/>
    </row>
    <row r="49" spans="1:12" s="1" customFormat="1" ht="21" customHeight="1" x14ac:dyDescent="0.3">
      <c r="A49" s="3" t="s">
        <v>51</v>
      </c>
      <c r="B49" s="56" t="s">
        <v>56</v>
      </c>
      <c r="C49" s="6">
        <v>43719</v>
      </c>
      <c r="D49" s="6"/>
      <c r="E49" s="3" t="s">
        <v>62</v>
      </c>
      <c r="F49" s="54" t="s">
        <v>123</v>
      </c>
      <c r="G49" s="3" t="s">
        <v>99</v>
      </c>
      <c r="H49" s="9">
        <v>20000</v>
      </c>
      <c r="I49" s="9">
        <v>20000</v>
      </c>
      <c r="J49" s="3"/>
      <c r="K49" s="3"/>
      <c r="L49" s="55"/>
    </row>
    <row r="50" spans="1:12" s="1" customFormat="1" ht="21" customHeight="1" x14ac:dyDescent="0.3">
      <c r="A50" s="3" t="s">
        <v>51</v>
      </c>
      <c r="B50" s="56" t="s">
        <v>56</v>
      </c>
      <c r="C50" s="6">
        <v>43719</v>
      </c>
      <c r="D50" s="6"/>
      <c r="E50" s="3" t="s">
        <v>62</v>
      </c>
      <c r="F50" s="54" t="s">
        <v>124</v>
      </c>
      <c r="G50" s="3" t="s">
        <v>110</v>
      </c>
      <c r="H50" s="9">
        <v>20000</v>
      </c>
      <c r="I50" s="9">
        <v>20000</v>
      </c>
      <c r="J50" s="3"/>
      <c r="K50" s="3"/>
      <c r="L50" s="55"/>
    </row>
    <row r="51" spans="1:12" s="1" customFormat="1" ht="21" customHeight="1" x14ac:dyDescent="0.3">
      <c r="A51" s="3" t="s">
        <v>51</v>
      </c>
      <c r="B51" s="56" t="s">
        <v>56</v>
      </c>
      <c r="C51" s="6">
        <v>43719</v>
      </c>
      <c r="D51" s="6"/>
      <c r="E51" s="3" t="s">
        <v>62</v>
      </c>
      <c r="F51" s="54" t="s">
        <v>125</v>
      </c>
      <c r="G51" s="3" t="s">
        <v>72</v>
      </c>
      <c r="H51" s="9">
        <v>20000</v>
      </c>
      <c r="I51" s="9">
        <v>20000</v>
      </c>
      <c r="J51" s="3"/>
      <c r="K51" s="3"/>
      <c r="L51" s="55"/>
    </row>
    <row r="52" spans="1:12" s="1" customFormat="1" ht="21" customHeight="1" x14ac:dyDescent="0.3">
      <c r="A52" s="3" t="s">
        <v>51</v>
      </c>
      <c r="B52" s="56" t="s">
        <v>56</v>
      </c>
      <c r="C52" s="6">
        <v>43719</v>
      </c>
      <c r="D52" s="6"/>
      <c r="E52" s="3" t="s">
        <v>62</v>
      </c>
      <c r="F52" s="54" t="s">
        <v>126</v>
      </c>
      <c r="G52" s="3" t="s">
        <v>74</v>
      </c>
      <c r="H52" s="9">
        <v>20000</v>
      </c>
      <c r="I52" s="9">
        <v>20000</v>
      </c>
      <c r="J52" s="3"/>
      <c r="K52" s="3"/>
      <c r="L52" s="55"/>
    </row>
    <row r="53" spans="1:12" s="1" customFormat="1" ht="21" customHeight="1" x14ac:dyDescent="0.3">
      <c r="A53" s="3" t="s">
        <v>51</v>
      </c>
      <c r="B53" s="56" t="s">
        <v>56</v>
      </c>
      <c r="C53" s="6">
        <v>43746</v>
      </c>
      <c r="D53" s="6"/>
      <c r="E53" s="3" t="s">
        <v>62</v>
      </c>
      <c r="F53" s="54" t="s">
        <v>127</v>
      </c>
      <c r="G53" s="3" t="s">
        <v>99</v>
      </c>
      <c r="H53" s="9">
        <v>20000</v>
      </c>
      <c r="I53" s="9">
        <v>20000</v>
      </c>
      <c r="J53" s="3"/>
      <c r="K53" s="3"/>
      <c r="L53" s="55"/>
    </row>
    <row r="54" spans="1:12" s="1" customFormat="1" ht="21" customHeight="1" x14ac:dyDescent="0.3">
      <c r="A54" s="3" t="s">
        <v>51</v>
      </c>
      <c r="B54" s="56" t="s">
        <v>56</v>
      </c>
      <c r="C54" s="6">
        <v>43746</v>
      </c>
      <c r="D54" s="6"/>
      <c r="E54" s="3" t="s">
        <v>62</v>
      </c>
      <c r="F54" s="54" t="s">
        <v>128</v>
      </c>
      <c r="G54" s="3" t="s">
        <v>110</v>
      </c>
      <c r="H54" s="9">
        <v>20000</v>
      </c>
      <c r="I54" s="9">
        <v>20000</v>
      </c>
      <c r="J54" s="3"/>
      <c r="K54" s="3"/>
      <c r="L54" s="55"/>
    </row>
    <row r="55" spans="1:12" s="1" customFormat="1" ht="21" customHeight="1" x14ac:dyDescent="0.3">
      <c r="A55" s="3" t="s">
        <v>51</v>
      </c>
      <c r="B55" s="56" t="s">
        <v>56</v>
      </c>
      <c r="C55" s="6">
        <v>43746</v>
      </c>
      <c r="D55" s="6"/>
      <c r="E55" s="3" t="s">
        <v>62</v>
      </c>
      <c r="F55" s="54" t="s">
        <v>129</v>
      </c>
      <c r="G55" s="3" t="s">
        <v>72</v>
      </c>
      <c r="H55" s="9">
        <v>20000</v>
      </c>
      <c r="I55" s="9">
        <v>20000</v>
      </c>
      <c r="J55" s="3"/>
      <c r="K55" s="3"/>
      <c r="L55" s="55"/>
    </row>
    <row r="56" spans="1:12" s="1" customFormat="1" ht="21" customHeight="1" x14ac:dyDescent="0.3">
      <c r="A56" s="3" t="s">
        <v>51</v>
      </c>
      <c r="B56" s="56" t="s">
        <v>56</v>
      </c>
      <c r="C56" s="6">
        <v>43746</v>
      </c>
      <c r="D56" s="6"/>
      <c r="E56" s="3" t="s">
        <v>62</v>
      </c>
      <c r="F56" s="54" t="s">
        <v>130</v>
      </c>
      <c r="G56" s="3" t="s">
        <v>74</v>
      </c>
      <c r="H56" s="9">
        <v>20000</v>
      </c>
      <c r="I56" s="9">
        <v>20000</v>
      </c>
      <c r="J56" s="3"/>
      <c r="K56" s="3"/>
      <c r="L56" s="55"/>
    </row>
    <row r="57" spans="1:12" s="1" customFormat="1" ht="21" customHeight="1" x14ac:dyDescent="0.3">
      <c r="A57" s="3" t="s">
        <v>51</v>
      </c>
      <c r="B57" s="56" t="s">
        <v>56</v>
      </c>
      <c r="C57" s="6">
        <v>43777</v>
      </c>
      <c r="D57" s="6"/>
      <c r="E57" s="3" t="s">
        <v>62</v>
      </c>
      <c r="F57" s="54" t="s">
        <v>131</v>
      </c>
      <c r="G57" s="3" t="s">
        <v>99</v>
      </c>
      <c r="H57" s="9">
        <v>20000</v>
      </c>
      <c r="I57" s="9">
        <v>20000</v>
      </c>
      <c r="J57" s="3"/>
      <c r="K57" s="3"/>
      <c r="L57" s="55"/>
    </row>
    <row r="58" spans="1:12" s="1" customFormat="1" ht="21" customHeight="1" x14ac:dyDescent="0.3">
      <c r="A58" s="3" t="s">
        <v>51</v>
      </c>
      <c r="B58" s="56" t="s">
        <v>56</v>
      </c>
      <c r="C58" s="6">
        <v>43777</v>
      </c>
      <c r="D58" s="6"/>
      <c r="E58" s="3" t="s">
        <v>62</v>
      </c>
      <c r="F58" s="54" t="s">
        <v>132</v>
      </c>
      <c r="G58" s="3" t="s">
        <v>110</v>
      </c>
      <c r="H58" s="9">
        <v>20000</v>
      </c>
      <c r="I58" s="9">
        <v>20000</v>
      </c>
      <c r="J58" s="3"/>
      <c r="K58" s="3"/>
      <c r="L58" s="55"/>
    </row>
    <row r="59" spans="1:12" s="1" customFormat="1" ht="21" customHeight="1" x14ac:dyDescent="0.3">
      <c r="A59" s="3" t="s">
        <v>51</v>
      </c>
      <c r="B59" s="56" t="s">
        <v>56</v>
      </c>
      <c r="C59" s="6">
        <v>43777</v>
      </c>
      <c r="D59" s="6"/>
      <c r="E59" s="3" t="s">
        <v>62</v>
      </c>
      <c r="F59" s="54" t="s">
        <v>133</v>
      </c>
      <c r="G59" s="3" t="s">
        <v>72</v>
      </c>
      <c r="H59" s="9">
        <v>20000</v>
      </c>
      <c r="I59" s="9">
        <v>20000</v>
      </c>
      <c r="J59" s="3"/>
      <c r="K59" s="3"/>
      <c r="L59" s="55"/>
    </row>
    <row r="60" spans="1:12" s="1" customFormat="1" ht="21" customHeight="1" x14ac:dyDescent="0.3">
      <c r="A60" s="3" t="s">
        <v>51</v>
      </c>
      <c r="B60" s="56" t="s">
        <v>56</v>
      </c>
      <c r="C60" s="6">
        <v>43777</v>
      </c>
      <c r="D60" s="6"/>
      <c r="E60" s="3" t="s">
        <v>62</v>
      </c>
      <c r="F60" s="54" t="s">
        <v>134</v>
      </c>
      <c r="G60" s="3" t="s">
        <v>74</v>
      </c>
      <c r="H60" s="9">
        <v>20000</v>
      </c>
      <c r="I60" s="9">
        <v>20000</v>
      </c>
      <c r="J60" s="3"/>
      <c r="K60" s="3"/>
      <c r="L60" s="55"/>
    </row>
    <row r="61" spans="1:12" s="1" customFormat="1" ht="21" customHeight="1" x14ac:dyDescent="0.3">
      <c r="A61" s="3" t="s">
        <v>51</v>
      </c>
      <c r="B61" s="56" t="s">
        <v>56</v>
      </c>
      <c r="C61" s="6">
        <v>43802</v>
      </c>
      <c r="D61" s="6"/>
      <c r="E61" s="3" t="s">
        <v>62</v>
      </c>
      <c r="F61" s="54" t="s">
        <v>135</v>
      </c>
      <c r="G61" s="3" t="s">
        <v>99</v>
      </c>
      <c r="H61" s="9">
        <v>20000</v>
      </c>
      <c r="I61" s="9">
        <v>20000</v>
      </c>
      <c r="J61" s="3"/>
      <c r="K61" s="3"/>
      <c r="L61" s="55"/>
    </row>
    <row r="62" spans="1:12" s="1" customFormat="1" ht="21" customHeight="1" x14ac:dyDescent="0.3">
      <c r="A62" s="3" t="s">
        <v>51</v>
      </c>
      <c r="B62" s="56" t="s">
        <v>56</v>
      </c>
      <c r="C62" s="6">
        <v>43802</v>
      </c>
      <c r="D62" s="6"/>
      <c r="E62" s="3" t="s">
        <v>62</v>
      </c>
      <c r="F62" s="54" t="s">
        <v>136</v>
      </c>
      <c r="G62" s="3" t="s">
        <v>110</v>
      </c>
      <c r="H62" s="9">
        <v>20000</v>
      </c>
      <c r="I62" s="9">
        <v>20000</v>
      </c>
      <c r="J62" s="3"/>
      <c r="K62" s="3"/>
      <c r="L62" s="55"/>
    </row>
    <row r="63" spans="1:12" s="1" customFormat="1" ht="21" customHeight="1" x14ac:dyDescent="0.3">
      <c r="A63" s="3" t="s">
        <v>51</v>
      </c>
      <c r="B63" s="56" t="s">
        <v>56</v>
      </c>
      <c r="C63" s="6">
        <v>43810</v>
      </c>
      <c r="D63" s="6"/>
      <c r="E63" s="3" t="s">
        <v>62</v>
      </c>
      <c r="F63" s="54" t="s">
        <v>137</v>
      </c>
      <c r="G63" s="3" t="s">
        <v>72</v>
      </c>
      <c r="H63" s="9">
        <v>100000</v>
      </c>
      <c r="I63" s="9">
        <v>100000</v>
      </c>
      <c r="J63" s="3"/>
      <c r="K63" s="3"/>
      <c r="L63" s="55"/>
    </row>
    <row r="64" spans="1:12" s="1" customFormat="1" ht="21" customHeight="1" x14ac:dyDescent="0.3">
      <c r="A64" s="3" t="s">
        <v>51</v>
      </c>
      <c r="B64" s="56" t="s">
        <v>56</v>
      </c>
      <c r="C64" s="6">
        <v>43810</v>
      </c>
      <c r="D64" s="6"/>
      <c r="E64" s="3" t="s">
        <v>62</v>
      </c>
      <c r="F64" s="54" t="s">
        <v>138</v>
      </c>
      <c r="G64" s="3" t="s">
        <v>74</v>
      </c>
      <c r="H64" s="9">
        <v>20000</v>
      </c>
      <c r="I64" s="9">
        <v>20000</v>
      </c>
      <c r="J64" s="3"/>
      <c r="K64" s="3"/>
      <c r="L64" s="55"/>
    </row>
    <row r="65" spans="1:12" s="1" customFormat="1" ht="21" customHeight="1" x14ac:dyDescent="0.3">
      <c r="A65" s="45" t="s">
        <v>35</v>
      </c>
      <c r="B65" s="46"/>
      <c r="C65" s="46"/>
      <c r="D65" s="46"/>
      <c r="E65" s="46"/>
      <c r="F65" s="46"/>
      <c r="G65" s="47"/>
      <c r="H65" s="23">
        <f>SUM(H6:H64)</f>
        <v>3782800</v>
      </c>
      <c r="I65" s="23">
        <f>SUM(I6:I64)</f>
        <v>3782800</v>
      </c>
      <c r="J65" s="23">
        <f>SUM(J6:J64)</f>
        <v>0</v>
      </c>
      <c r="K65" s="11"/>
    </row>
    <row r="66" spans="1:12" s="1" customFormat="1" ht="21" customHeight="1" x14ac:dyDescent="0.3">
      <c r="A66" s="4" t="s">
        <v>52</v>
      </c>
      <c r="B66" s="4" t="s">
        <v>139</v>
      </c>
      <c r="C66" s="6">
        <v>43566</v>
      </c>
      <c r="D66" s="5">
        <v>43558</v>
      </c>
      <c r="E66" s="4" t="s">
        <v>142</v>
      </c>
      <c r="F66" s="54" t="s">
        <v>144</v>
      </c>
      <c r="G66" s="4" t="s">
        <v>147</v>
      </c>
      <c r="H66" s="10">
        <f>I66+J66</f>
        <v>224400</v>
      </c>
      <c r="I66" s="10">
        <v>204000</v>
      </c>
      <c r="J66" s="10">
        <f>I66*10%</f>
        <v>20400</v>
      </c>
      <c r="K66" s="4"/>
    </row>
    <row r="67" spans="1:12" s="1" customFormat="1" ht="21" customHeight="1" x14ac:dyDescent="0.3">
      <c r="A67" s="4" t="s">
        <v>52</v>
      </c>
      <c r="B67" s="4" t="s">
        <v>139</v>
      </c>
      <c r="C67" s="6">
        <v>43804</v>
      </c>
      <c r="D67" s="5">
        <v>43811</v>
      </c>
      <c r="E67" s="4" t="s">
        <v>143</v>
      </c>
      <c r="F67" s="54" t="s">
        <v>145</v>
      </c>
      <c r="G67" s="4" t="s">
        <v>146</v>
      </c>
      <c r="H67" s="10">
        <f t="shared" ref="H67:H69" si="0">I67+J67</f>
        <v>3518877</v>
      </c>
      <c r="I67" s="10">
        <v>3198979</v>
      </c>
      <c r="J67" s="10">
        <v>319898</v>
      </c>
      <c r="K67" s="4"/>
    </row>
    <row r="68" spans="1:12" s="1" customFormat="1" ht="21" customHeight="1" x14ac:dyDescent="0.3">
      <c r="A68" s="4" t="s">
        <v>52</v>
      </c>
      <c r="B68" s="4" t="s">
        <v>140</v>
      </c>
      <c r="C68" s="6">
        <v>43804</v>
      </c>
      <c r="D68" s="5">
        <v>43802</v>
      </c>
      <c r="E68" s="4" t="s">
        <v>62</v>
      </c>
      <c r="F68" s="54" t="s">
        <v>150</v>
      </c>
      <c r="G68" s="3" t="s">
        <v>148</v>
      </c>
      <c r="H68" s="10">
        <f t="shared" si="0"/>
        <v>3300000</v>
      </c>
      <c r="I68" s="10">
        <v>3000000</v>
      </c>
      <c r="J68" s="10">
        <f t="shared" ref="J67:J68" si="1">I68*10%</f>
        <v>300000</v>
      </c>
      <c r="K68" s="4"/>
    </row>
    <row r="69" spans="1:12" s="1" customFormat="1" ht="33.75" customHeight="1" x14ac:dyDescent="0.3">
      <c r="A69" s="4" t="s">
        <v>52</v>
      </c>
      <c r="B69" s="4" t="s">
        <v>141</v>
      </c>
      <c r="C69" s="6"/>
      <c r="D69" s="5">
        <v>43815</v>
      </c>
      <c r="E69" s="4" t="s">
        <v>62</v>
      </c>
      <c r="F69" s="56" t="s">
        <v>151</v>
      </c>
      <c r="G69" s="3" t="s">
        <v>149</v>
      </c>
      <c r="H69" s="10">
        <f t="shared" si="0"/>
        <v>4400000</v>
      </c>
      <c r="I69" s="10">
        <v>4400000</v>
      </c>
      <c r="J69" s="10"/>
      <c r="K69" s="4"/>
    </row>
    <row r="70" spans="1:12" s="1" customFormat="1" ht="21" customHeight="1" x14ac:dyDescent="0.3">
      <c r="A70" s="45" t="s">
        <v>35</v>
      </c>
      <c r="B70" s="46"/>
      <c r="C70" s="46"/>
      <c r="D70" s="46"/>
      <c r="E70" s="46"/>
      <c r="F70" s="46"/>
      <c r="G70" s="47"/>
      <c r="H70" s="23">
        <f>SUM(H66:H69)</f>
        <v>11443277</v>
      </c>
      <c r="I70" s="23">
        <f>SUM(I66:I69)</f>
        <v>10802979</v>
      </c>
      <c r="J70" s="23">
        <f>SUM(J66:J69)</f>
        <v>640298</v>
      </c>
      <c r="K70" s="11"/>
      <c r="L70" s="55"/>
    </row>
    <row r="71" spans="1:12" s="1" customFormat="1" ht="21" customHeight="1" x14ac:dyDescent="0.3">
      <c r="A71" s="4" t="s">
        <v>53</v>
      </c>
      <c r="B71" s="54" t="s">
        <v>152</v>
      </c>
      <c r="C71" s="57">
        <v>43553</v>
      </c>
      <c r="D71" s="57">
        <v>43539</v>
      </c>
      <c r="E71" s="54" t="s">
        <v>143</v>
      </c>
      <c r="F71" s="56" t="s">
        <v>153</v>
      </c>
      <c r="G71" s="4" t="s">
        <v>154</v>
      </c>
      <c r="H71" s="10">
        <f>I71+J71</f>
        <v>56600</v>
      </c>
      <c r="I71" s="10">
        <v>51455</v>
      </c>
      <c r="J71" s="10">
        <v>5145</v>
      </c>
      <c r="K71" s="4"/>
    </row>
    <row r="72" spans="1:12" s="1" customFormat="1" ht="21" customHeight="1" x14ac:dyDescent="0.3">
      <c r="A72" s="4" t="s">
        <v>53</v>
      </c>
      <c r="B72" s="54" t="s">
        <v>152</v>
      </c>
      <c r="C72" s="57">
        <v>43587</v>
      </c>
      <c r="D72" s="57">
        <v>43578</v>
      </c>
      <c r="E72" s="54" t="s">
        <v>143</v>
      </c>
      <c r="F72" s="56" t="s">
        <v>155</v>
      </c>
      <c r="G72" s="4" t="s">
        <v>156</v>
      </c>
      <c r="H72" s="10">
        <f>I72+J72</f>
        <v>153380</v>
      </c>
      <c r="I72" s="10">
        <v>139436</v>
      </c>
      <c r="J72" s="10">
        <v>13944</v>
      </c>
      <c r="K72" s="4"/>
    </row>
    <row r="73" spans="1:12" s="1" customFormat="1" ht="21" customHeight="1" x14ac:dyDescent="0.3">
      <c r="A73" s="4" t="s">
        <v>53</v>
      </c>
      <c r="B73" s="54" t="s">
        <v>157</v>
      </c>
      <c r="C73" s="57">
        <v>43553</v>
      </c>
      <c r="D73" s="57">
        <v>43545</v>
      </c>
      <c r="E73" s="54" t="s">
        <v>158</v>
      </c>
      <c r="F73" s="56" t="s">
        <v>159</v>
      </c>
      <c r="G73" s="4" t="s">
        <v>160</v>
      </c>
      <c r="H73" s="10">
        <f t="shared" ref="H73:H115" si="2">I73+J73</f>
        <v>1100000</v>
      </c>
      <c r="I73" s="10">
        <v>1100000</v>
      </c>
      <c r="J73" s="10"/>
      <c r="K73" s="4"/>
    </row>
    <row r="74" spans="1:12" s="1" customFormat="1" ht="21" customHeight="1" x14ac:dyDescent="0.3">
      <c r="A74" s="4" t="s">
        <v>53</v>
      </c>
      <c r="B74" s="54" t="s">
        <v>157</v>
      </c>
      <c r="C74" s="57">
        <v>43558</v>
      </c>
      <c r="D74" s="57">
        <v>43552</v>
      </c>
      <c r="E74" s="54" t="s">
        <v>158</v>
      </c>
      <c r="F74" s="56" t="s">
        <v>162</v>
      </c>
      <c r="G74" s="4" t="s">
        <v>161</v>
      </c>
      <c r="H74" s="10">
        <f t="shared" si="2"/>
        <v>1100000</v>
      </c>
      <c r="I74" s="10">
        <v>1100000</v>
      </c>
      <c r="J74" s="10"/>
      <c r="K74" s="4"/>
    </row>
    <row r="75" spans="1:12" s="1" customFormat="1" ht="21" customHeight="1" x14ac:dyDescent="0.3">
      <c r="A75" s="4" t="s">
        <v>53</v>
      </c>
      <c r="B75" s="54" t="s">
        <v>157</v>
      </c>
      <c r="C75" s="57">
        <v>43565</v>
      </c>
      <c r="D75" s="57">
        <v>43559</v>
      </c>
      <c r="E75" s="54" t="s">
        <v>158</v>
      </c>
      <c r="F75" s="56" t="s">
        <v>163</v>
      </c>
      <c r="G75" s="4" t="s">
        <v>164</v>
      </c>
      <c r="H75" s="10">
        <f t="shared" si="2"/>
        <v>1100000</v>
      </c>
      <c r="I75" s="10">
        <v>1100000</v>
      </c>
      <c r="J75" s="10"/>
      <c r="K75" s="4"/>
    </row>
    <row r="76" spans="1:12" s="1" customFormat="1" ht="21" customHeight="1" x14ac:dyDescent="0.3">
      <c r="A76" s="4" t="s">
        <v>53</v>
      </c>
      <c r="B76" s="54" t="s">
        <v>157</v>
      </c>
      <c r="C76" s="57">
        <v>43580</v>
      </c>
      <c r="D76" s="57" t="s">
        <v>167</v>
      </c>
      <c r="E76" s="54" t="s">
        <v>158</v>
      </c>
      <c r="F76" s="59" t="s">
        <v>165</v>
      </c>
      <c r="G76" s="3" t="s">
        <v>166</v>
      </c>
      <c r="H76" s="10">
        <f t="shared" si="2"/>
        <v>1150000</v>
      </c>
      <c r="I76" s="10">
        <v>1150000</v>
      </c>
      <c r="J76" s="10"/>
      <c r="K76" s="4"/>
    </row>
    <row r="77" spans="1:12" s="1" customFormat="1" ht="21" customHeight="1" x14ac:dyDescent="0.3">
      <c r="A77" s="4" t="s">
        <v>53</v>
      </c>
      <c r="B77" s="54" t="s">
        <v>157</v>
      </c>
      <c r="C77" s="57">
        <v>43584</v>
      </c>
      <c r="D77" s="57">
        <v>43582</v>
      </c>
      <c r="E77" s="54"/>
      <c r="F77" s="59" t="s">
        <v>172</v>
      </c>
      <c r="G77" s="3" t="s">
        <v>173</v>
      </c>
      <c r="H77" s="10">
        <f t="shared" si="2"/>
        <v>100000</v>
      </c>
      <c r="I77" s="10">
        <v>100000</v>
      </c>
      <c r="J77" s="10"/>
      <c r="K77" s="4"/>
    </row>
    <row r="78" spans="1:12" s="1" customFormat="1" ht="21" customHeight="1" x14ac:dyDescent="0.3">
      <c r="A78" s="4" t="s">
        <v>53</v>
      </c>
      <c r="B78" s="54" t="s">
        <v>157</v>
      </c>
      <c r="C78" s="57">
        <v>43584</v>
      </c>
      <c r="D78" s="57">
        <v>43566</v>
      </c>
      <c r="E78" s="54" t="s">
        <v>158</v>
      </c>
      <c r="F78" s="56" t="s">
        <v>168</v>
      </c>
      <c r="G78" s="4" t="s">
        <v>169</v>
      </c>
      <c r="H78" s="10">
        <f t="shared" si="2"/>
        <v>1100000</v>
      </c>
      <c r="I78" s="10">
        <v>1100000</v>
      </c>
      <c r="J78" s="10"/>
      <c r="K78" s="4"/>
    </row>
    <row r="79" spans="1:12" s="1" customFormat="1" ht="21" customHeight="1" x14ac:dyDescent="0.3">
      <c r="A79" s="4" t="s">
        <v>53</v>
      </c>
      <c r="B79" s="54" t="s">
        <v>157</v>
      </c>
      <c r="C79" s="57">
        <v>43584</v>
      </c>
      <c r="D79" s="57">
        <v>43580</v>
      </c>
      <c r="E79" s="54" t="s">
        <v>158</v>
      </c>
      <c r="F79" s="56" t="s">
        <v>170</v>
      </c>
      <c r="G79" s="4" t="s">
        <v>171</v>
      </c>
      <c r="H79" s="10">
        <f t="shared" si="2"/>
        <v>1100000</v>
      </c>
      <c r="I79" s="10">
        <v>1100000</v>
      </c>
      <c r="J79" s="10"/>
      <c r="K79" s="4"/>
    </row>
    <row r="80" spans="1:12" s="1" customFormat="1" ht="21" customHeight="1" x14ac:dyDescent="0.3">
      <c r="A80" s="4" t="s">
        <v>53</v>
      </c>
      <c r="B80" s="54" t="s">
        <v>157</v>
      </c>
      <c r="C80" s="57">
        <v>43593</v>
      </c>
      <c r="D80" s="57">
        <v>43587</v>
      </c>
      <c r="E80" s="54" t="s">
        <v>158</v>
      </c>
      <c r="F80" s="56" t="s">
        <v>174</v>
      </c>
      <c r="G80" s="4" t="s">
        <v>175</v>
      </c>
      <c r="H80" s="10">
        <f t="shared" si="2"/>
        <v>1100000</v>
      </c>
      <c r="I80" s="10">
        <v>1100000</v>
      </c>
      <c r="J80" s="10"/>
      <c r="K80" s="4"/>
    </row>
    <row r="81" spans="1:11" s="1" customFormat="1" ht="21" customHeight="1" x14ac:dyDescent="0.3">
      <c r="A81" s="4" t="s">
        <v>53</v>
      </c>
      <c r="B81" s="54" t="s">
        <v>157</v>
      </c>
      <c r="C81" s="57">
        <v>43595</v>
      </c>
      <c r="D81" s="57">
        <v>43588</v>
      </c>
      <c r="E81" s="54" t="s">
        <v>158</v>
      </c>
      <c r="F81" s="56" t="s">
        <v>176</v>
      </c>
      <c r="G81" s="4" t="s">
        <v>177</v>
      </c>
      <c r="H81" s="10">
        <f t="shared" si="2"/>
        <v>625000</v>
      </c>
      <c r="I81" s="10">
        <v>625000</v>
      </c>
      <c r="J81" s="10"/>
      <c r="K81" s="4"/>
    </row>
    <row r="82" spans="1:11" s="1" customFormat="1" ht="21" customHeight="1" x14ac:dyDescent="0.3">
      <c r="A82" s="4" t="s">
        <v>53</v>
      </c>
      <c r="B82" s="54" t="s">
        <v>157</v>
      </c>
      <c r="C82" s="57">
        <v>43595</v>
      </c>
      <c r="D82" s="57">
        <v>43588</v>
      </c>
      <c r="E82" s="54" t="s">
        <v>158</v>
      </c>
      <c r="F82" s="56" t="s">
        <v>179</v>
      </c>
      <c r="G82" s="4" t="s">
        <v>178</v>
      </c>
      <c r="H82" s="10">
        <f t="shared" si="2"/>
        <v>625000</v>
      </c>
      <c r="I82" s="10">
        <v>625000</v>
      </c>
      <c r="J82" s="10"/>
      <c r="K82" s="4"/>
    </row>
    <row r="83" spans="1:11" s="1" customFormat="1" ht="21" customHeight="1" x14ac:dyDescent="0.3">
      <c r="A83" s="4" t="s">
        <v>53</v>
      </c>
      <c r="B83" s="54" t="s">
        <v>157</v>
      </c>
      <c r="C83" s="6">
        <v>43600</v>
      </c>
      <c r="D83" s="6">
        <v>43598</v>
      </c>
      <c r="E83" s="54" t="s">
        <v>158</v>
      </c>
      <c r="F83" s="59" t="s">
        <v>181</v>
      </c>
      <c r="G83" s="4" t="s">
        <v>180</v>
      </c>
      <c r="H83" s="10">
        <f t="shared" si="2"/>
        <v>600000</v>
      </c>
      <c r="I83" s="10">
        <v>600000</v>
      </c>
      <c r="J83" s="10"/>
      <c r="K83" s="4"/>
    </row>
    <row r="84" spans="1:11" s="1" customFormat="1" ht="21" customHeight="1" x14ac:dyDescent="0.3">
      <c r="A84" s="4" t="s">
        <v>53</v>
      </c>
      <c r="B84" s="54" t="s">
        <v>157</v>
      </c>
      <c r="C84" s="6">
        <v>43600</v>
      </c>
      <c r="D84" s="6">
        <v>43600</v>
      </c>
      <c r="E84" s="54" t="s">
        <v>158</v>
      </c>
      <c r="F84" s="59" t="s">
        <v>182</v>
      </c>
      <c r="G84" s="4" t="s">
        <v>180</v>
      </c>
      <c r="H84" s="10">
        <f t="shared" si="2"/>
        <v>600000</v>
      </c>
      <c r="I84" s="10">
        <v>600000</v>
      </c>
      <c r="J84" s="10"/>
      <c r="K84" s="4"/>
    </row>
    <row r="85" spans="1:11" s="1" customFormat="1" ht="21" customHeight="1" x14ac:dyDescent="0.3">
      <c r="A85" s="4" t="s">
        <v>53</v>
      </c>
      <c r="B85" s="54" t="s">
        <v>157</v>
      </c>
      <c r="C85" s="6">
        <v>43607</v>
      </c>
      <c r="D85" s="57" t="s">
        <v>184</v>
      </c>
      <c r="E85" s="54" t="s">
        <v>158</v>
      </c>
      <c r="F85" s="59" t="s">
        <v>183</v>
      </c>
      <c r="G85" s="3" t="s">
        <v>166</v>
      </c>
      <c r="H85" s="10">
        <f t="shared" si="2"/>
        <v>1175000</v>
      </c>
      <c r="I85" s="10">
        <v>1175000</v>
      </c>
      <c r="J85" s="10"/>
      <c r="K85" s="4"/>
    </row>
    <row r="86" spans="1:11" s="1" customFormat="1" ht="21" customHeight="1" x14ac:dyDescent="0.3">
      <c r="A86" s="4" t="s">
        <v>53</v>
      </c>
      <c r="B86" s="54" t="s">
        <v>157</v>
      </c>
      <c r="C86" s="6">
        <v>43607</v>
      </c>
      <c r="D86" s="6">
        <v>43606</v>
      </c>
      <c r="E86" s="4"/>
      <c r="F86" s="56" t="s">
        <v>186</v>
      </c>
      <c r="G86" s="3" t="s">
        <v>173</v>
      </c>
      <c r="H86" s="10">
        <f>I86+J86</f>
        <v>75000</v>
      </c>
      <c r="I86" s="10">
        <v>75000</v>
      </c>
      <c r="J86" s="10"/>
      <c r="K86" s="4"/>
    </row>
    <row r="87" spans="1:11" s="1" customFormat="1" ht="21" customHeight="1" x14ac:dyDescent="0.3">
      <c r="A87" s="4" t="s">
        <v>53</v>
      </c>
      <c r="B87" s="54" t="s">
        <v>157</v>
      </c>
      <c r="C87" s="6">
        <v>43607</v>
      </c>
      <c r="D87" s="6">
        <v>43605</v>
      </c>
      <c r="E87" s="54" t="s">
        <v>158</v>
      </c>
      <c r="F87" s="59" t="s">
        <v>185</v>
      </c>
      <c r="G87" s="4" t="s">
        <v>180</v>
      </c>
      <c r="H87" s="10">
        <f t="shared" si="2"/>
        <v>600000</v>
      </c>
      <c r="I87" s="10">
        <v>600000</v>
      </c>
      <c r="J87" s="10"/>
      <c r="K87" s="4"/>
    </row>
    <row r="88" spans="1:11" s="1" customFormat="1" ht="21" customHeight="1" x14ac:dyDescent="0.3">
      <c r="A88" s="4" t="s">
        <v>53</v>
      </c>
      <c r="B88" s="54" t="s">
        <v>157</v>
      </c>
      <c r="C88" s="6">
        <v>43608</v>
      </c>
      <c r="D88" s="6">
        <v>43607</v>
      </c>
      <c r="E88" s="54" t="s">
        <v>158</v>
      </c>
      <c r="F88" s="59" t="s">
        <v>187</v>
      </c>
      <c r="G88" s="4" t="s">
        <v>180</v>
      </c>
      <c r="H88" s="10">
        <f t="shared" si="2"/>
        <v>600000</v>
      </c>
      <c r="I88" s="10">
        <v>600000</v>
      </c>
      <c r="J88" s="10"/>
      <c r="K88" s="4"/>
    </row>
    <row r="89" spans="1:11" s="1" customFormat="1" ht="21" customHeight="1" x14ac:dyDescent="0.3">
      <c r="A89" s="4" t="s">
        <v>53</v>
      </c>
      <c r="B89" s="54" t="s">
        <v>157</v>
      </c>
      <c r="C89" s="6">
        <v>43661</v>
      </c>
      <c r="D89" s="6">
        <v>43649</v>
      </c>
      <c r="E89" s="54" t="s">
        <v>158</v>
      </c>
      <c r="F89" s="59" t="s">
        <v>188</v>
      </c>
      <c r="G89" s="4" t="s">
        <v>180</v>
      </c>
      <c r="H89" s="10">
        <f t="shared" si="2"/>
        <v>1000000</v>
      </c>
      <c r="I89" s="10">
        <v>1000000</v>
      </c>
      <c r="J89" s="10"/>
      <c r="K89" s="4"/>
    </row>
    <row r="90" spans="1:11" s="1" customFormat="1" ht="21" customHeight="1" x14ac:dyDescent="0.3">
      <c r="A90" s="4" t="s">
        <v>53</v>
      </c>
      <c r="B90" s="54" t="s">
        <v>157</v>
      </c>
      <c r="C90" s="6">
        <v>43670</v>
      </c>
      <c r="D90" s="6">
        <v>43663</v>
      </c>
      <c r="E90" s="54" t="s">
        <v>158</v>
      </c>
      <c r="F90" s="59" t="s">
        <v>189</v>
      </c>
      <c r="G90" s="4" t="s">
        <v>180</v>
      </c>
      <c r="H90" s="10">
        <f t="shared" si="2"/>
        <v>1000000</v>
      </c>
      <c r="I90" s="10">
        <v>1000000</v>
      </c>
      <c r="J90" s="10"/>
      <c r="K90" s="4"/>
    </row>
    <row r="91" spans="1:11" s="1" customFormat="1" ht="21" customHeight="1" x14ac:dyDescent="0.3">
      <c r="A91" s="4" t="s">
        <v>53</v>
      </c>
      <c r="B91" s="54" t="s">
        <v>157</v>
      </c>
      <c r="C91" s="6">
        <v>43699</v>
      </c>
      <c r="D91" s="6">
        <v>43691</v>
      </c>
      <c r="E91" s="54" t="s">
        <v>158</v>
      </c>
      <c r="F91" s="59" t="s">
        <v>190</v>
      </c>
      <c r="G91" s="4" t="s">
        <v>180</v>
      </c>
      <c r="H91" s="10">
        <f t="shared" si="2"/>
        <v>1000000</v>
      </c>
      <c r="I91" s="10">
        <v>1000000</v>
      </c>
      <c r="J91" s="10"/>
      <c r="K91" s="4"/>
    </row>
    <row r="92" spans="1:11" s="1" customFormat="1" ht="21" customHeight="1" x14ac:dyDescent="0.3">
      <c r="A92" s="4" t="s">
        <v>53</v>
      </c>
      <c r="B92" s="54" t="s">
        <v>157</v>
      </c>
      <c r="C92" s="6">
        <v>43739</v>
      </c>
      <c r="D92" s="6">
        <v>43735</v>
      </c>
      <c r="E92" s="54" t="s">
        <v>158</v>
      </c>
      <c r="F92" s="56" t="s">
        <v>191</v>
      </c>
      <c r="G92" s="4" t="s">
        <v>180</v>
      </c>
      <c r="H92" s="10">
        <f t="shared" si="2"/>
        <v>1000000</v>
      </c>
      <c r="I92" s="10">
        <v>1000000</v>
      </c>
      <c r="J92" s="10"/>
      <c r="K92" s="4"/>
    </row>
    <row r="93" spans="1:11" s="1" customFormat="1" ht="21" customHeight="1" x14ac:dyDescent="0.3">
      <c r="A93" s="4" t="s">
        <v>53</v>
      </c>
      <c r="B93" s="54" t="s">
        <v>157</v>
      </c>
      <c r="C93" s="6">
        <v>43767</v>
      </c>
      <c r="D93" s="6">
        <v>43762</v>
      </c>
      <c r="E93" s="54" t="s">
        <v>158</v>
      </c>
      <c r="F93" s="56" t="s">
        <v>192</v>
      </c>
      <c r="G93" s="4" t="s">
        <v>180</v>
      </c>
      <c r="H93" s="10">
        <f t="shared" si="2"/>
        <v>1000000</v>
      </c>
      <c r="I93" s="10">
        <v>1000000</v>
      </c>
      <c r="J93" s="10"/>
      <c r="K93" s="4"/>
    </row>
    <row r="94" spans="1:11" s="1" customFormat="1" ht="21" customHeight="1" x14ac:dyDescent="0.3">
      <c r="A94" s="4" t="s">
        <v>53</v>
      </c>
      <c r="B94" s="54" t="s">
        <v>157</v>
      </c>
      <c r="C94" s="6">
        <v>43790</v>
      </c>
      <c r="D94" s="6">
        <v>43776</v>
      </c>
      <c r="E94" s="54" t="s">
        <v>158</v>
      </c>
      <c r="F94" s="56" t="s">
        <v>193</v>
      </c>
      <c r="G94" s="4" t="s">
        <v>180</v>
      </c>
      <c r="H94" s="10">
        <f t="shared" si="2"/>
        <v>1000000</v>
      </c>
      <c r="I94" s="10">
        <v>1000000</v>
      </c>
      <c r="J94" s="10"/>
      <c r="K94" s="4"/>
    </row>
    <row r="95" spans="1:11" s="1" customFormat="1" ht="21" customHeight="1" x14ac:dyDescent="0.3">
      <c r="A95" s="4" t="s">
        <v>53</v>
      </c>
      <c r="B95" s="54" t="s">
        <v>157</v>
      </c>
      <c r="C95" s="6">
        <v>43796</v>
      </c>
      <c r="D95" s="6">
        <v>43777</v>
      </c>
      <c r="E95" s="54" t="s">
        <v>158</v>
      </c>
      <c r="F95" s="56" t="s">
        <v>194</v>
      </c>
      <c r="G95" s="4" t="s">
        <v>180</v>
      </c>
      <c r="H95" s="10">
        <f t="shared" si="2"/>
        <v>1000000</v>
      </c>
      <c r="I95" s="10">
        <v>1000000</v>
      </c>
      <c r="J95" s="10"/>
      <c r="K95" s="4"/>
    </row>
    <row r="96" spans="1:11" s="1" customFormat="1" ht="21" customHeight="1" x14ac:dyDescent="0.3">
      <c r="A96" s="4" t="s">
        <v>53</v>
      </c>
      <c r="B96" s="54" t="s">
        <v>157</v>
      </c>
      <c r="C96" s="6">
        <v>43804</v>
      </c>
      <c r="D96" s="6">
        <v>43801</v>
      </c>
      <c r="E96" s="54" t="s">
        <v>158</v>
      </c>
      <c r="F96" s="59" t="s">
        <v>195</v>
      </c>
      <c r="G96" s="4" t="s">
        <v>180</v>
      </c>
      <c r="H96" s="10">
        <f t="shared" si="2"/>
        <v>1000000</v>
      </c>
      <c r="I96" s="10">
        <v>1000000</v>
      </c>
      <c r="J96" s="10"/>
      <c r="K96" s="4"/>
    </row>
    <row r="97" spans="1:11" s="1" customFormat="1" ht="21" customHeight="1" x14ac:dyDescent="0.3">
      <c r="A97" s="4" t="s">
        <v>53</v>
      </c>
      <c r="B97" s="54" t="s">
        <v>157</v>
      </c>
      <c r="C97" s="6">
        <v>43804</v>
      </c>
      <c r="D97" s="6" t="s">
        <v>197</v>
      </c>
      <c r="E97" s="54" t="s">
        <v>158</v>
      </c>
      <c r="F97" s="56" t="s">
        <v>198</v>
      </c>
      <c r="G97" s="3" t="s">
        <v>166</v>
      </c>
      <c r="H97" s="10">
        <f t="shared" si="2"/>
        <v>1572000</v>
      </c>
      <c r="I97" s="10">
        <v>1572000</v>
      </c>
      <c r="J97" s="10"/>
      <c r="K97" s="4"/>
    </row>
    <row r="98" spans="1:11" s="1" customFormat="1" ht="21" customHeight="1" x14ac:dyDescent="0.3">
      <c r="A98" s="4" t="s">
        <v>53</v>
      </c>
      <c r="B98" s="54" t="s">
        <v>157</v>
      </c>
      <c r="C98" s="6">
        <v>43804</v>
      </c>
      <c r="D98" s="6">
        <v>43804</v>
      </c>
      <c r="E98" s="4"/>
      <c r="F98" s="56" t="s">
        <v>196</v>
      </c>
      <c r="G98" s="3" t="s">
        <v>173</v>
      </c>
      <c r="H98" s="10">
        <f t="shared" si="2"/>
        <v>75000</v>
      </c>
      <c r="I98" s="10">
        <v>75000</v>
      </c>
      <c r="J98" s="10"/>
      <c r="K98" s="4"/>
    </row>
    <row r="99" spans="1:11" s="1" customFormat="1" ht="21" customHeight="1" x14ac:dyDescent="0.3">
      <c r="A99" s="4" t="s">
        <v>53</v>
      </c>
      <c r="B99" s="54" t="s">
        <v>199</v>
      </c>
      <c r="C99" s="6">
        <v>43557</v>
      </c>
      <c r="D99" s="6">
        <v>43553</v>
      </c>
      <c r="E99" s="4" t="s">
        <v>142</v>
      </c>
      <c r="F99" s="56" t="s">
        <v>236</v>
      </c>
      <c r="G99" s="3" t="s">
        <v>206</v>
      </c>
      <c r="H99" s="10">
        <f t="shared" si="2"/>
        <v>1120000</v>
      </c>
      <c r="I99" s="10">
        <v>1120000</v>
      </c>
      <c r="J99" s="10"/>
      <c r="K99" s="4"/>
    </row>
    <row r="100" spans="1:11" s="1" customFormat="1" ht="21" customHeight="1" x14ac:dyDescent="0.3">
      <c r="A100" s="4" t="s">
        <v>53</v>
      </c>
      <c r="B100" s="54" t="s">
        <v>199</v>
      </c>
      <c r="C100" s="6">
        <v>43557</v>
      </c>
      <c r="D100" s="6">
        <v>43557</v>
      </c>
      <c r="E100" s="4" t="s">
        <v>201</v>
      </c>
      <c r="F100" s="56" t="s">
        <v>200</v>
      </c>
      <c r="G100" s="3" t="s">
        <v>206</v>
      </c>
      <c r="H100" s="10">
        <f t="shared" si="2"/>
        <v>230000</v>
      </c>
      <c r="I100" s="10">
        <v>230000</v>
      </c>
      <c r="J100" s="10"/>
      <c r="K100" s="4"/>
    </row>
    <row r="101" spans="1:11" s="1" customFormat="1" ht="21" customHeight="1" x14ac:dyDescent="0.3">
      <c r="A101" s="4" t="s">
        <v>53</v>
      </c>
      <c r="B101" s="54" t="s">
        <v>199</v>
      </c>
      <c r="C101" s="6">
        <v>43577</v>
      </c>
      <c r="D101" s="6">
        <v>43573</v>
      </c>
      <c r="E101" s="4" t="s">
        <v>201</v>
      </c>
      <c r="F101" s="56" t="s">
        <v>202</v>
      </c>
      <c r="G101" s="3" t="s">
        <v>207</v>
      </c>
      <c r="H101" s="10">
        <f t="shared" si="2"/>
        <v>220000</v>
      </c>
      <c r="I101" s="10">
        <v>200000</v>
      </c>
      <c r="J101" s="10">
        <f>I101*10%</f>
        <v>20000</v>
      </c>
      <c r="K101" s="4"/>
    </row>
    <row r="102" spans="1:11" s="1" customFormat="1" ht="21" customHeight="1" x14ac:dyDescent="0.3">
      <c r="A102" s="4" t="s">
        <v>53</v>
      </c>
      <c r="B102" s="54" t="s">
        <v>199</v>
      </c>
      <c r="C102" s="6">
        <v>43584</v>
      </c>
      <c r="D102" s="6">
        <v>43573</v>
      </c>
      <c r="E102" s="4" t="s">
        <v>201</v>
      </c>
      <c r="F102" s="56" t="s">
        <v>203</v>
      </c>
      <c r="G102" s="3" t="s">
        <v>208</v>
      </c>
      <c r="H102" s="10">
        <f t="shared" si="2"/>
        <v>6338396</v>
      </c>
      <c r="I102" s="10">
        <v>6338396</v>
      </c>
      <c r="J102" s="10"/>
      <c r="K102" s="4"/>
    </row>
    <row r="103" spans="1:11" s="1" customFormat="1" ht="21" customHeight="1" x14ac:dyDescent="0.3">
      <c r="A103" s="4" t="s">
        <v>53</v>
      </c>
      <c r="B103" s="54" t="s">
        <v>199</v>
      </c>
      <c r="C103" s="6">
        <v>43607</v>
      </c>
      <c r="D103" s="6">
        <v>43592</v>
      </c>
      <c r="E103" s="4" t="s">
        <v>201</v>
      </c>
      <c r="F103" s="56" t="s">
        <v>224</v>
      </c>
      <c r="G103" s="3" t="s">
        <v>226</v>
      </c>
      <c r="H103" s="10">
        <f t="shared" si="2"/>
        <v>30000</v>
      </c>
      <c r="I103" s="10">
        <v>30000</v>
      </c>
      <c r="J103" s="10"/>
      <c r="K103" s="4"/>
    </row>
    <row r="104" spans="1:11" s="1" customFormat="1" ht="21" customHeight="1" x14ac:dyDescent="0.3">
      <c r="A104" s="4" t="s">
        <v>53</v>
      </c>
      <c r="B104" s="54" t="s">
        <v>199</v>
      </c>
      <c r="C104" s="6">
        <v>43607</v>
      </c>
      <c r="D104" s="6">
        <v>43598</v>
      </c>
      <c r="E104" s="4" t="s">
        <v>201</v>
      </c>
      <c r="F104" s="56" t="s">
        <v>225</v>
      </c>
      <c r="G104" s="3" t="s">
        <v>226</v>
      </c>
      <c r="H104" s="10">
        <f t="shared" ref="H104" si="3">I104+J104</f>
        <v>30000</v>
      </c>
      <c r="I104" s="10">
        <v>30000</v>
      </c>
      <c r="J104" s="10"/>
      <c r="K104" s="4"/>
    </row>
    <row r="105" spans="1:11" s="1" customFormat="1" ht="21" customHeight="1" x14ac:dyDescent="0.3">
      <c r="A105" s="4" t="s">
        <v>53</v>
      </c>
      <c r="B105" s="54" t="s">
        <v>199</v>
      </c>
      <c r="C105" s="6">
        <v>43608</v>
      </c>
      <c r="D105" s="6">
        <v>43605</v>
      </c>
      <c r="E105" s="4" t="s">
        <v>201</v>
      </c>
      <c r="F105" s="56" t="s">
        <v>227</v>
      </c>
      <c r="G105" s="3" t="s">
        <v>226</v>
      </c>
      <c r="H105" s="10">
        <f t="shared" ref="H105:H110" si="4">I105+J105</f>
        <v>30000</v>
      </c>
      <c r="I105" s="10">
        <v>30000</v>
      </c>
      <c r="J105" s="10"/>
      <c r="K105" s="4"/>
    </row>
    <row r="106" spans="1:11" s="1" customFormat="1" ht="21" customHeight="1" x14ac:dyDescent="0.3">
      <c r="A106" s="4" t="s">
        <v>53</v>
      </c>
      <c r="B106" s="54" t="s">
        <v>199</v>
      </c>
      <c r="C106" s="6">
        <v>43630</v>
      </c>
      <c r="D106" s="6">
        <v>43621</v>
      </c>
      <c r="E106" s="4" t="s">
        <v>201</v>
      </c>
      <c r="F106" s="56" t="s">
        <v>237</v>
      </c>
      <c r="G106" s="3" t="s">
        <v>228</v>
      </c>
      <c r="H106" s="10">
        <f t="shared" si="4"/>
        <v>299999.7</v>
      </c>
      <c r="I106" s="10">
        <v>272727</v>
      </c>
      <c r="J106" s="58">
        <f>I106*10%</f>
        <v>27272.7</v>
      </c>
      <c r="K106" s="4"/>
    </row>
    <row r="107" spans="1:11" s="1" customFormat="1" ht="21" customHeight="1" x14ac:dyDescent="0.3">
      <c r="A107" s="4" t="s">
        <v>53</v>
      </c>
      <c r="B107" s="54" t="s">
        <v>199</v>
      </c>
      <c r="C107" s="6">
        <v>43635</v>
      </c>
      <c r="D107" s="6">
        <v>43628</v>
      </c>
      <c r="E107" s="4" t="s">
        <v>201</v>
      </c>
      <c r="F107" s="56" t="s">
        <v>229</v>
      </c>
      <c r="G107" s="3" t="s">
        <v>228</v>
      </c>
      <c r="H107" s="10">
        <f t="shared" si="4"/>
        <v>1199999.8999999999</v>
      </c>
      <c r="I107" s="10">
        <v>1090909</v>
      </c>
      <c r="J107" s="58">
        <f>I107*10%</f>
        <v>109090.90000000001</v>
      </c>
      <c r="K107" s="4"/>
    </row>
    <row r="108" spans="1:11" s="1" customFormat="1" ht="21" customHeight="1" x14ac:dyDescent="0.3">
      <c r="A108" s="4" t="s">
        <v>53</v>
      </c>
      <c r="B108" s="54" t="s">
        <v>199</v>
      </c>
      <c r="C108" s="6">
        <v>43777</v>
      </c>
      <c r="D108" s="6">
        <v>43769</v>
      </c>
      <c r="E108" s="4" t="s">
        <v>230</v>
      </c>
      <c r="F108" s="56" t="s">
        <v>238</v>
      </c>
      <c r="G108" s="3" t="s">
        <v>231</v>
      </c>
      <c r="H108" s="10">
        <f t="shared" si="4"/>
        <v>3300000</v>
      </c>
      <c r="I108" s="10">
        <v>3000000</v>
      </c>
      <c r="J108" s="10">
        <f>I108*10%</f>
        <v>300000</v>
      </c>
      <c r="K108" s="4"/>
    </row>
    <row r="109" spans="1:11" s="1" customFormat="1" ht="21" customHeight="1" x14ac:dyDescent="0.3">
      <c r="A109" s="4" t="s">
        <v>53</v>
      </c>
      <c r="B109" s="54" t="s">
        <v>240</v>
      </c>
      <c r="C109" s="6">
        <v>43788</v>
      </c>
      <c r="D109" s="6">
        <v>43783</v>
      </c>
      <c r="E109" s="4" t="s">
        <v>230</v>
      </c>
      <c r="F109" s="56" t="s">
        <v>233</v>
      </c>
      <c r="G109" s="3" t="s">
        <v>232</v>
      </c>
      <c r="H109" s="10">
        <f t="shared" si="4"/>
        <v>2772000</v>
      </c>
      <c r="I109" s="10">
        <v>2520000</v>
      </c>
      <c r="J109" s="10">
        <f>I109*10%</f>
        <v>252000</v>
      </c>
      <c r="K109" s="4"/>
    </row>
    <row r="110" spans="1:11" s="1" customFormat="1" ht="21" customHeight="1" x14ac:dyDescent="0.3">
      <c r="A110" s="4" t="s">
        <v>53</v>
      </c>
      <c r="B110" s="54" t="s">
        <v>239</v>
      </c>
      <c r="C110" s="6">
        <v>43795</v>
      </c>
      <c r="D110" s="6">
        <v>43788</v>
      </c>
      <c r="E110" s="4" t="s">
        <v>230</v>
      </c>
      <c r="F110" s="56" t="s">
        <v>235</v>
      </c>
      <c r="G110" s="3" t="s">
        <v>234</v>
      </c>
      <c r="H110" s="10">
        <f t="shared" si="4"/>
        <v>200000</v>
      </c>
      <c r="I110" s="10">
        <v>200000</v>
      </c>
      <c r="J110" s="10"/>
      <c r="K110" s="4"/>
    </row>
    <row r="111" spans="1:11" s="1" customFormat="1" ht="21" customHeight="1" x14ac:dyDescent="0.3">
      <c r="A111" s="4" t="s">
        <v>53</v>
      </c>
      <c r="B111" s="54" t="s">
        <v>205</v>
      </c>
      <c r="C111" s="6">
        <v>43593</v>
      </c>
      <c r="D111" s="6">
        <v>43580</v>
      </c>
      <c r="E111" s="4" t="s">
        <v>201</v>
      </c>
      <c r="F111" s="56" t="s">
        <v>204</v>
      </c>
      <c r="G111" s="3" t="s">
        <v>209</v>
      </c>
      <c r="H111" s="10">
        <v>12311</v>
      </c>
      <c r="I111" s="10">
        <v>12311</v>
      </c>
      <c r="J111" s="10"/>
      <c r="K111" s="4"/>
    </row>
    <row r="112" spans="1:11" s="1" customFormat="1" ht="21" customHeight="1" x14ac:dyDescent="0.3">
      <c r="A112" s="4" t="s">
        <v>53</v>
      </c>
      <c r="B112" s="54" t="s">
        <v>215</v>
      </c>
      <c r="C112" s="6">
        <v>43601</v>
      </c>
      <c r="D112" s="6">
        <v>43599</v>
      </c>
      <c r="E112" s="4" t="s">
        <v>201</v>
      </c>
      <c r="F112" s="56" t="s">
        <v>216</v>
      </c>
      <c r="G112" s="3" t="s">
        <v>217</v>
      </c>
      <c r="H112" s="10">
        <f t="shared" ref="H112:H113" si="5">I112+J112</f>
        <v>990000</v>
      </c>
      <c r="I112" s="10">
        <v>900000</v>
      </c>
      <c r="J112" s="10">
        <f>I112*10%</f>
        <v>90000</v>
      </c>
      <c r="K112" s="4"/>
    </row>
    <row r="113" spans="1:12" s="1" customFormat="1" ht="21" customHeight="1" x14ac:dyDescent="0.3">
      <c r="A113" s="4" t="s">
        <v>53</v>
      </c>
      <c r="B113" s="54" t="s">
        <v>215</v>
      </c>
      <c r="C113" s="6">
        <v>43601</v>
      </c>
      <c r="D113" s="6">
        <v>43594</v>
      </c>
      <c r="E113" s="4" t="s">
        <v>201</v>
      </c>
      <c r="F113" s="56" t="s">
        <v>218</v>
      </c>
      <c r="G113" s="3" t="s">
        <v>219</v>
      </c>
      <c r="H113" s="10">
        <f t="shared" si="5"/>
        <v>33000</v>
      </c>
      <c r="I113" s="10">
        <v>30000</v>
      </c>
      <c r="J113" s="10">
        <f>I113*10%</f>
        <v>3000</v>
      </c>
      <c r="K113" s="4"/>
    </row>
    <row r="114" spans="1:12" s="1" customFormat="1" ht="21" customHeight="1" x14ac:dyDescent="0.3">
      <c r="A114" s="4" t="s">
        <v>53</v>
      </c>
      <c r="B114" s="54" t="s">
        <v>54</v>
      </c>
      <c r="C114" s="6">
        <v>43594</v>
      </c>
      <c r="D114" s="6" t="s">
        <v>212</v>
      </c>
      <c r="E114" s="4" t="s">
        <v>62</v>
      </c>
      <c r="F114" s="56" t="s">
        <v>210</v>
      </c>
      <c r="G114" s="3" t="s">
        <v>211</v>
      </c>
      <c r="H114" s="10">
        <f t="shared" si="2"/>
        <v>4123260</v>
      </c>
      <c r="I114" s="10">
        <f>1731760+2195000+88000+61000+47500</f>
        <v>4123260</v>
      </c>
      <c r="J114" s="10"/>
      <c r="K114" s="4"/>
    </row>
    <row r="115" spans="1:12" s="1" customFormat="1" ht="21" customHeight="1" x14ac:dyDescent="0.3">
      <c r="A115" s="4" t="s">
        <v>53</v>
      </c>
      <c r="B115" s="54" t="s">
        <v>54</v>
      </c>
      <c r="C115" s="6">
        <v>43594</v>
      </c>
      <c r="D115" s="6" t="s">
        <v>212</v>
      </c>
      <c r="E115" s="4" t="s">
        <v>62</v>
      </c>
      <c r="F115" s="56" t="s">
        <v>213</v>
      </c>
      <c r="G115" s="4" t="s">
        <v>110</v>
      </c>
      <c r="H115" s="10">
        <f t="shared" si="2"/>
        <v>2991376</v>
      </c>
      <c r="I115" s="10">
        <f>1457876+1453000+66000+14500</f>
        <v>2991376</v>
      </c>
      <c r="J115" s="10"/>
      <c r="K115" s="4"/>
    </row>
    <row r="116" spans="1:12" s="1" customFormat="1" ht="21" customHeight="1" x14ac:dyDescent="0.3">
      <c r="A116" s="4" t="s">
        <v>53</v>
      </c>
      <c r="B116" s="54" t="s">
        <v>54</v>
      </c>
      <c r="C116" s="6">
        <v>43601</v>
      </c>
      <c r="D116" s="6" t="s">
        <v>212</v>
      </c>
      <c r="E116" s="4" t="s">
        <v>62</v>
      </c>
      <c r="F116" s="56" t="s">
        <v>221</v>
      </c>
      <c r="G116" s="3" t="s">
        <v>214</v>
      </c>
      <c r="H116" s="10">
        <f>I116+J116</f>
        <v>1533500</v>
      </c>
      <c r="I116" s="10">
        <v>1533500</v>
      </c>
      <c r="J116" s="10"/>
      <c r="K116" s="4"/>
    </row>
    <row r="117" spans="1:12" s="1" customFormat="1" ht="21" customHeight="1" x14ac:dyDescent="0.3">
      <c r="A117" s="4" t="s">
        <v>53</v>
      </c>
      <c r="B117" s="54" t="s">
        <v>54</v>
      </c>
      <c r="C117" s="6">
        <v>43601</v>
      </c>
      <c r="D117" s="6" t="s">
        <v>220</v>
      </c>
      <c r="E117" s="4" t="s">
        <v>62</v>
      </c>
      <c r="F117" s="56" t="s">
        <v>222</v>
      </c>
      <c r="G117" s="3" t="s">
        <v>223</v>
      </c>
      <c r="H117" s="10">
        <f>I117+J117</f>
        <v>1713100</v>
      </c>
      <c r="I117" s="10">
        <v>1713100</v>
      </c>
      <c r="J117" s="10"/>
      <c r="K117" s="4"/>
    </row>
    <row r="118" spans="1:12" s="1" customFormat="1" ht="21" customHeight="1" x14ac:dyDescent="0.3">
      <c r="A118" s="45" t="s">
        <v>35</v>
      </c>
      <c r="B118" s="46"/>
      <c r="C118" s="46"/>
      <c r="D118" s="46"/>
      <c r="E118" s="46"/>
      <c r="F118" s="46"/>
      <c r="G118" s="47"/>
      <c r="H118" s="61">
        <f>SUM(H71:H117)</f>
        <v>49773922.599999994</v>
      </c>
      <c r="I118" s="23">
        <f>SUM(I71:I117)</f>
        <v>48953470</v>
      </c>
      <c r="J118" s="23">
        <f>SUM(J71:J117)</f>
        <v>820452.6</v>
      </c>
      <c r="K118" s="11"/>
      <c r="L118" s="55"/>
    </row>
    <row r="119" spans="1:12" s="1" customFormat="1" ht="21" customHeight="1" x14ac:dyDescent="0.3">
      <c r="A119" s="4" t="s">
        <v>55</v>
      </c>
      <c r="B119" s="54" t="s">
        <v>241</v>
      </c>
      <c r="C119" s="57">
        <v>43542</v>
      </c>
      <c r="D119" s="57">
        <v>43531</v>
      </c>
      <c r="E119" s="54" t="s">
        <v>309</v>
      </c>
      <c r="F119" s="56" t="s">
        <v>243</v>
      </c>
      <c r="G119" s="4" t="s">
        <v>242</v>
      </c>
      <c r="H119" s="10">
        <v>284000</v>
      </c>
      <c r="I119" s="10">
        <v>258182</v>
      </c>
      <c r="J119" s="64">
        <v>25818</v>
      </c>
      <c r="K119" s="4"/>
    </row>
    <row r="120" spans="1:12" s="1" customFormat="1" ht="21" customHeight="1" x14ac:dyDescent="0.3">
      <c r="A120" s="4" t="s">
        <v>55</v>
      </c>
      <c r="B120" s="54" t="s">
        <v>241</v>
      </c>
      <c r="C120" s="57">
        <v>43551</v>
      </c>
      <c r="D120" s="57">
        <v>43537</v>
      </c>
      <c r="E120" s="54" t="s">
        <v>309</v>
      </c>
      <c r="F120" s="56" t="s">
        <v>251</v>
      </c>
      <c r="G120" s="4" t="s">
        <v>248</v>
      </c>
      <c r="H120" s="10">
        <f t="shared" ref="H120:H138" si="6">I120+J120</f>
        <v>200000</v>
      </c>
      <c r="I120" s="10">
        <v>181819</v>
      </c>
      <c r="J120" s="64">
        <v>18181</v>
      </c>
      <c r="K120" s="4"/>
    </row>
    <row r="121" spans="1:12" s="1" customFormat="1" ht="21" customHeight="1" x14ac:dyDescent="0.3">
      <c r="A121" s="4" t="s">
        <v>55</v>
      </c>
      <c r="B121" s="54" t="s">
        <v>241</v>
      </c>
      <c r="C121" s="57">
        <v>43551</v>
      </c>
      <c r="D121" s="57">
        <v>43545</v>
      </c>
      <c r="E121" s="54" t="s">
        <v>309</v>
      </c>
      <c r="F121" s="56" t="s">
        <v>250</v>
      </c>
      <c r="G121" s="4" t="s">
        <v>249</v>
      </c>
      <c r="H121" s="10">
        <v>262000</v>
      </c>
      <c r="I121" s="10">
        <v>238182</v>
      </c>
      <c r="J121" s="64">
        <v>23818</v>
      </c>
      <c r="K121" s="4"/>
    </row>
    <row r="122" spans="1:12" s="1" customFormat="1" ht="21" customHeight="1" x14ac:dyDescent="0.3">
      <c r="A122" s="4" t="s">
        <v>55</v>
      </c>
      <c r="B122" s="54" t="s">
        <v>241</v>
      </c>
      <c r="C122" s="57">
        <v>43563</v>
      </c>
      <c r="D122" s="57">
        <v>43552</v>
      </c>
      <c r="E122" s="54" t="s">
        <v>309</v>
      </c>
      <c r="F122" s="56" t="s">
        <v>256</v>
      </c>
      <c r="G122" s="4" t="s">
        <v>249</v>
      </c>
      <c r="H122" s="10">
        <v>150000</v>
      </c>
      <c r="I122" s="10">
        <v>136364</v>
      </c>
      <c r="J122" s="64">
        <v>13636</v>
      </c>
      <c r="K122" s="4"/>
    </row>
    <row r="123" spans="1:12" s="1" customFormat="1" ht="21" customHeight="1" x14ac:dyDescent="0.3">
      <c r="A123" s="4" t="s">
        <v>55</v>
      </c>
      <c r="B123" s="54" t="s">
        <v>241</v>
      </c>
      <c r="C123" s="57">
        <v>43574</v>
      </c>
      <c r="D123" s="57">
        <v>43566</v>
      </c>
      <c r="E123" s="54" t="s">
        <v>309</v>
      </c>
      <c r="F123" s="56" t="s">
        <v>259</v>
      </c>
      <c r="G123" s="4" t="s">
        <v>258</v>
      </c>
      <c r="H123" s="10">
        <f t="shared" si="6"/>
        <v>389000</v>
      </c>
      <c r="I123" s="10">
        <v>353636</v>
      </c>
      <c r="J123" s="64">
        <v>35364</v>
      </c>
      <c r="K123" s="4"/>
    </row>
    <row r="124" spans="1:12" s="1" customFormat="1" ht="21" customHeight="1" x14ac:dyDescent="0.3">
      <c r="A124" s="4" t="s">
        <v>55</v>
      </c>
      <c r="B124" s="54" t="s">
        <v>241</v>
      </c>
      <c r="C124" s="57">
        <v>43581</v>
      </c>
      <c r="D124" s="57">
        <v>43574</v>
      </c>
      <c r="E124" s="54" t="s">
        <v>309</v>
      </c>
      <c r="F124" s="56" t="s">
        <v>261</v>
      </c>
      <c r="G124" s="4" t="s">
        <v>260</v>
      </c>
      <c r="H124" s="10">
        <f t="shared" si="6"/>
        <v>398000</v>
      </c>
      <c r="I124" s="10">
        <v>361819</v>
      </c>
      <c r="J124" s="64">
        <v>36181</v>
      </c>
      <c r="K124" s="4"/>
    </row>
    <row r="125" spans="1:12" s="1" customFormat="1" ht="21" customHeight="1" x14ac:dyDescent="0.3">
      <c r="A125" s="4" t="s">
        <v>55</v>
      </c>
      <c r="B125" s="54" t="s">
        <v>241</v>
      </c>
      <c r="C125" s="57">
        <v>43593</v>
      </c>
      <c r="D125" s="57">
        <v>43585</v>
      </c>
      <c r="E125" s="54" t="s">
        <v>309</v>
      </c>
      <c r="F125" s="56" t="s">
        <v>263</v>
      </c>
      <c r="G125" s="4" t="s">
        <v>262</v>
      </c>
      <c r="H125" s="10">
        <v>360000</v>
      </c>
      <c r="I125" s="10">
        <v>327273</v>
      </c>
      <c r="J125" s="64">
        <v>32727</v>
      </c>
      <c r="K125" s="4"/>
    </row>
    <row r="126" spans="1:12" s="1" customFormat="1" ht="21" customHeight="1" x14ac:dyDescent="0.3">
      <c r="A126" s="4" t="s">
        <v>55</v>
      </c>
      <c r="B126" s="54" t="s">
        <v>241</v>
      </c>
      <c r="C126" s="57">
        <v>43594</v>
      </c>
      <c r="D126" s="57">
        <v>43586</v>
      </c>
      <c r="E126" s="54" t="s">
        <v>309</v>
      </c>
      <c r="F126" s="56" t="s">
        <v>265</v>
      </c>
      <c r="G126" s="4" t="s">
        <v>249</v>
      </c>
      <c r="H126" s="10">
        <f t="shared" si="6"/>
        <v>395000</v>
      </c>
      <c r="I126" s="10">
        <v>359093</v>
      </c>
      <c r="J126" s="64">
        <v>35907</v>
      </c>
      <c r="K126" s="4"/>
    </row>
    <row r="127" spans="1:12" s="1" customFormat="1" ht="21" customHeight="1" x14ac:dyDescent="0.3">
      <c r="A127" s="4" t="s">
        <v>55</v>
      </c>
      <c r="B127" s="54" t="s">
        <v>241</v>
      </c>
      <c r="C127" s="57">
        <v>43605</v>
      </c>
      <c r="D127" s="57">
        <v>43587</v>
      </c>
      <c r="E127" s="54" t="s">
        <v>309</v>
      </c>
      <c r="F127" s="56" t="s">
        <v>268</v>
      </c>
      <c r="G127" s="4" t="s">
        <v>249</v>
      </c>
      <c r="H127" s="10">
        <f t="shared" si="6"/>
        <v>412000</v>
      </c>
      <c r="I127" s="10">
        <v>374546</v>
      </c>
      <c r="J127" s="64">
        <v>37454</v>
      </c>
      <c r="K127" s="4"/>
    </row>
    <row r="128" spans="1:12" s="1" customFormat="1" ht="21" customHeight="1" x14ac:dyDescent="0.3">
      <c r="A128" s="4" t="s">
        <v>55</v>
      </c>
      <c r="B128" s="54" t="s">
        <v>241</v>
      </c>
      <c r="C128" s="57">
        <v>43605</v>
      </c>
      <c r="D128" s="57">
        <v>43588</v>
      </c>
      <c r="E128" s="54" t="s">
        <v>309</v>
      </c>
      <c r="F128" s="56" t="s">
        <v>267</v>
      </c>
      <c r="G128" s="4" t="s">
        <v>266</v>
      </c>
      <c r="H128" s="10">
        <v>307000</v>
      </c>
      <c r="I128" s="10">
        <v>279091</v>
      </c>
      <c r="J128" s="64">
        <v>27909</v>
      </c>
      <c r="K128" s="4"/>
    </row>
    <row r="129" spans="1:12" s="1" customFormat="1" ht="21" customHeight="1" x14ac:dyDescent="0.3">
      <c r="A129" s="4" t="s">
        <v>55</v>
      </c>
      <c r="B129" s="54" t="s">
        <v>241</v>
      </c>
      <c r="C129" s="57">
        <v>43605</v>
      </c>
      <c r="D129" s="57">
        <v>43598</v>
      </c>
      <c r="E129" s="54" t="s">
        <v>309</v>
      </c>
      <c r="F129" s="56" t="s">
        <v>270</v>
      </c>
      <c r="G129" s="4" t="s">
        <v>269</v>
      </c>
      <c r="H129" s="10">
        <f t="shared" si="6"/>
        <v>154000</v>
      </c>
      <c r="I129" s="10">
        <v>140001</v>
      </c>
      <c r="J129" s="64">
        <v>13999</v>
      </c>
      <c r="K129" s="4"/>
    </row>
    <row r="130" spans="1:12" s="1" customFormat="1" ht="21" customHeight="1" x14ac:dyDescent="0.3">
      <c r="A130" s="4" t="s">
        <v>55</v>
      </c>
      <c r="B130" s="54" t="s">
        <v>241</v>
      </c>
      <c r="C130" s="57">
        <v>43608</v>
      </c>
      <c r="D130" s="57">
        <v>43601</v>
      </c>
      <c r="E130" s="54" t="s">
        <v>309</v>
      </c>
      <c r="F130" s="56" t="s">
        <v>274</v>
      </c>
      <c r="G130" s="4" t="s">
        <v>269</v>
      </c>
      <c r="H130" s="10">
        <f t="shared" si="6"/>
        <v>150000</v>
      </c>
      <c r="I130" s="10">
        <v>136364</v>
      </c>
      <c r="J130" s="64">
        <v>13636</v>
      </c>
      <c r="K130" s="4"/>
    </row>
    <row r="131" spans="1:12" s="1" customFormat="1" ht="21" customHeight="1" x14ac:dyDescent="0.3">
      <c r="A131" s="4" t="s">
        <v>55</v>
      </c>
      <c r="B131" s="54" t="s">
        <v>241</v>
      </c>
      <c r="C131" s="57">
        <v>43608</v>
      </c>
      <c r="D131" s="57">
        <v>43605</v>
      </c>
      <c r="E131" s="54" t="s">
        <v>309</v>
      </c>
      <c r="F131" s="56" t="s">
        <v>276</v>
      </c>
      <c r="G131" s="4" t="s">
        <v>275</v>
      </c>
      <c r="H131" s="10">
        <f t="shared" si="6"/>
        <v>98000</v>
      </c>
      <c r="I131" s="10">
        <v>89091</v>
      </c>
      <c r="J131" s="64">
        <v>8909</v>
      </c>
      <c r="K131" s="4"/>
    </row>
    <row r="132" spans="1:12" s="1" customFormat="1" ht="21" customHeight="1" x14ac:dyDescent="0.3">
      <c r="A132" s="4" t="s">
        <v>55</v>
      </c>
      <c r="B132" s="54" t="s">
        <v>241</v>
      </c>
      <c r="C132" s="57">
        <v>43612</v>
      </c>
      <c r="D132" s="57">
        <v>43607</v>
      </c>
      <c r="E132" s="54" t="s">
        <v>309</v>
      </c>
      <c r="F132" s="56" t="s">
        <v>278</v>
      </c>
      <c r="G132" s="4" t="s">
        <v>277</v>
      </c>
      <c r="H132" s="10">
        <f t="shared" si="6"/>
        <v>120000</v>
      </c>
      <c r="I132" s="10">
        <v>109091</v>
      </c>
      <c r="J132" s="64">
        <v>10909</v>
      </c>
      <c r="K132" s="4"/>
    </row>
    <row r="133" spans="1:12" s="1" customFormat="1" ht="21" customHeight="1" x14ac:dyDescent="0.3">
      <c r="A133" s="4" t="s">
        <v>55</v>
      </c>
      <c r="B133" s="54" t="s">
        <v>241</v>
      </c>
      <c r="C133" s="57">
        <v>43612</v>
      </c>
      <c r="D133" s="57">
        <v>43608</v>
      </c>
      <c r="E133" s="54" t="s">
        <v>309</v>
      </c>
      <c r="F133" s="56" t="s">
        <v>280</v>
      </c>
      <c r="G133" s="4" t="s">
        <v>279</v>
      </c>
      <c r="H133" s="10">
        <f t="shared" si="6"/>
        <v>390000</v>
      </c>
      <c r="I133" s="10">
        <v>354546</v>
      </c>
      <c r="J133" s="64">
        <v>35454</v>
      </c>
      <c r="K133" s="4"/>
    </row>
    <row r="134" spans="1:12" s="1" customFormat="1" ht="21" customHeight="1" x14ac:dyDescent="0.3">
      <c r="A134" s="4" t="s">
        <v>55</v>
      </c>
      <c r="B134" s="54" t="s">
        <v>241</v>
      </c>
      <c r="C134" s="57">
        <v>43641</v>
      </c>
      <c r="D134" s="57">
        <v>43630</v>
      </c>
      <c r="E134" s="54" t="s">
        <v>309</v>
      </c>
      <c r="F134" s="56" t="s">
        <v>288</v>
      </c>
      <c r="G134" s="4" t="s">
        <v>287</v>
      </c>
      <c r="H134" s="10">
        <f t="shared" si="6"/>
        <v>390000</v>
      </c>
      <c r="I134" s="10">
        <v>354549</v>
      </c>
      <c r="J134" s="64">
        <v>35451</v>
      </c>
      <c r="K134" s="4"/>
    </row>
    <row r="135" spans="1:12" s="1" customFormat="1" ht="21" customHeight="1" x14ac:dyDescent="0.3">
      <c r="A135" s="4" t="s">
        <v>55</v>
      </c>
      <c r="B135" s="54" t="s">
        <v>241</v>
      </c>
      <c r="C135" s="57">
        <v>43649</v>
      </c>
      <c r="D135" s="57">
        <v>43633</v>
      </c>
      <c r="E135" s="54" t="s">
        <v>309</v>
      </c>
      <c r="F135" s="56" t="s">
        <v>290</v>
      </c>
      <c r="G135" s="4" t="s">
        <v>289</v>
      </c>
      <c r="H135" s="10">
        <f t="shared" si="6"/>
        <v>359000</v>
      </c>
      <c r="I135" s="10">
        <v>326364</v>
      </c>
      <c r="J135" s="64">
        <v>32636</v>
      </c>
      <c r="K135" s="4"/>
    </row>
    <row r="136" spans="1:12" s="1" customFormat="1" ht="21" customHeight="1" x14ac:dyDescent="0.3">
      <c r="A136" s="4" t="s">
        <v>55</v>
      </c>
      <c r="B136" s="54" t="s">
        <v>241</v>
      </c>
      <c r="C136" s="57">
        <v>43683</v>
      </c>
      <c r="D136" s="57">
        <v>43666</v>
      </c>
      <c r="E136" s="54" t="s">
        <v>309</v>
      </c>
      <c r="F136" s="56" t="s">
        <v>297</v>
      </c>
      <c r="G136" s="4" t="s">
        <v>296</v>
      </c>
      <c r="H136" s="10">
        <f t="shared" si="6"/>
        <v>48000</v>
      </c>
      <c r="I136" s="10">
        <v>43637</v>
      </c>
      <c r="J136" s="64">
        <v>4363</v>
      </c>
      <c r="K136" s="4"/>
    </row>
    <row r="137" spans="1:12" s="1" customFormat="1" ht="21" customHeight="1" x14ac:dyDescent="0.3">
      <c r="A137" s="4" t="s">
        <v>55</v>
      </c>
      <c r="B137" s="54" t="s">
        <v>241</v>
      </c>
      <c r="C137" s="57">
        <v>43690</v>
      </c>
      <c r="D137" s="57">
        <v>43672</v>
      </c>
      <c r="E137" s="54" t="s">
        <v>309</v>
      </c>
      <c r="F137" s="56" t="s">
        <v>295</v>
      </c>
      <c r="G137" s="4" t="s">
        <v>294</v>
      </c>
      <c r="H137" s="10">
        <f t="shared" si="6"/>
        <v>68400</v>
      </c>
      <c r="I137" s="10">
        <v>62182</v>
      </c>
      <c r="J137" s="64">
        <v>6218</v>
      </c>
      <c r="K137" s="4"/>
    </row>
    <row r="138" spans="1:12" s="1" customFormat="1" ht="21" customHeight="1" x14ac:dyDescent="0.3">
      <c r="A138" s="4" t="s">
        <v>55</v>
      </c>
      <c r="B138" s="54" t="s">
        <v>241</v>
      </c>
      <c r="C138" s="57">
        <v>43699</v>
      </c>
      <c r="D138" s="57">
        <v>43691</v>
      </c>
      <c r="E138" s="54" t="s">
        <v>309</v>
      </c>
      <c r="F138" s="56" t="s">
        <v>299</v>
      </c>
      <c r="G138" s="4" t="s">
        <v>298</v>
      </c>
      <c r="H138" s="10">
        <f>I138+J138</f>
        <v>218000</v>
      </c>
      <c r="I138" s="10">
        <v>198184</v>
      </c>
      <c r="J138" s="64">
        <v>19816</v>
      </c>
      <c r="K138" s="4"/>
    </row>
    <row r="139" spans="1:12" s="1" customFormat="1" ht="21" customHeight="1" x14ac:dyDescent="0.3">
      <c r="A139" s="4" t="s">
        <v>55</v>
      </c>
      <c r="B139" s="54" t="s">
        <v>241</v>
      </c>
      <c r="C139" s="57">
        <v>43733</v>
      </c>
      <c r="D139" s="57">
        <v>43727</v>
      </c>
      <c r="E139" s="54" t="s">
        <v>309</v>
      </c>
      <c r="F139" s="56" t="s">
        <v>313</v>
      </c>
      <c r="G139" s="4" t="s">
        <v>302</v>
      </c>
      <c r="H139" s="10">
        <v>98152</v>
      </c>
      <c r="I139" s="10">
        <v>98152</v>
      </c>
      <c r="J139" s="64"/>
      <c r="K139" s="4"/>
    </row>
    <row r="140" spans="1:12" s="1" customFormat="1" ht="21" customHeight="1" x14ac:dyDescent="0.3">
      <c r="A140" s="4" t="s">
        <v>55</v>
      </c>
      <c r="B140" s="54" t="s">
        <v>241</v>
      </c>
      <c r="C140" s="57">
        <v>43753</v>
      </c>
      <c r="D140" s="57">
        <v>43734</v>
      </c>
      <c r="E140" s="54" t="s">
        <v>309</v>
      </c>
      <c r="F140" s="56" t="s">
        <v>314</v>
      </c>
      <c r="G140" s="4" t="s">
        <v>303</v>
      </c>
      <c r="H140" s="10">
        <v>189000</v>
      </c>
      <c r="I140" s="10">
        <v>171818</v>
      </c>
      <c r="J140" s="64">
        <v>17182</v>
      </c>
      <c r="K140" s="4"/>
      <c r="L140" s="55"/>
    </row>
    <row r="141" spans="1:12" s="1" customFormat="1" ht="21" customHeight="1" x14ac:dyDescent="0.3">
      <c r="A141" s="4" t="s">
        <v>55</v>
      </c>
      <c r="B141" s="54" t="s">
        <v>241</v>
      </c>
      <c r="C141" s="57">
        <v>43773</v>
      </c>
      <c r="D141" s="57">
        <v>43763</v>
      </c>
      <c r="E141" s="54" t="s">
        <v>309</v>
      </c>
      <c r="F141" s="56" t="s">
        <v>315</v>
      </c>
      <c r="G141" s="4" t="s">
        <v>304</v>
      </c>
      <c r="H141" s="10">
        <v>78800</v>
      </c>
      <c r="I141" s="10">
        <v>71637</v>
      </c>
      <c r="J141" s="64">
        <v>7163</v>
      </c>
      <c r="K141" s="4"/>
      <c r="L141" s="55"/>
    </row>
    <row r="142" spans="1:12" s="1" customFormat="1" ht="21" customHeight="1" x14ac:dyDescent="0.3">
      <c r="A142" s="4" t="s">
        <v>55</v>
      </c>
      <c r="B142" s="54" t="s">
        <v>241</v>
      </c>
      <c r="C142" s="57">
        <v>43781</v>
      </c>
      <c r="D142" s="57">
        <v>43769</v>
      </c>
      <c r="E142" s="54" t="s">
        <v>309</v>
      </c>
      <c r="F142" s="56" t="s">
        <v>316</v>
      </c>
      <c r="G142" s="4" t="s">
        <v>307</v>
      </c>
      <c r="H142" s="10">
        <v>88000</v>
      </c>
      <c r="I142" s="10">
        <v>80000</v>
      </c>
      <c r="J142" s="64">
        <v>8000</v>
      </c>
      <c r="K142" s="4"/>
    </row>
    <row r="143" spans="1:12" s="1" customFormat="1" ht="21" customHeight="1" x14ac:dyDescent="0.3">
      <c r="A143" s="4" t="s">
        <v>55</v>
      </c>
      <c r="B143" s="54" t="s">
        <v>241</v>
      </c>
      <c r="C143" s="57">
        <v>43804</v>
      </c>
      <c r="D143" s="57">
        <v>43801</v>
      </c>
      <c r="E143" s="54" t="s">
        <v>309</v>
      </c>
      <c r="F143" s="56" t="s">
        <v>317</v>
      </c>
      <c r="G143" s="4" t="s">
        <v>308</v>
      </c>
      <c r="H143" s="10">
        <v>206000</v>
      </c>
      <c r="I143" s="10">
        <v>187279</v>
      </c>
      <c r="J143" s="64">
        <v>18721</v>
      </c>
      <c r="K143" s="4"/>
      <c r="L143" s="55"/>
    </row>
    <row r="144" spans="1:12" s="1" customFormat="1" ht="21" customHeight="1" x14ac:dyDescent="0.3">
      <c r="A144" s="4" t="s">
        <v>55</v>
      </c>
      <c r="B144" s="54" t="s">
        <v>244</v>
      </c>
      <c r="C144" s="57">
        <v>43545</v>
      </c>
      <c r="D144" s="57">
        <v>43547</v>
      </c>
      <c r="E144" s="54" t="s">
        <v>62</v>
      </c>
      <c r="F144" s="56" t="s">
        <v>245</v>
      </c>
      <c r="G144" s="4" t="s">
        <v>64</v>
      </c>
      <c r="H144" s="10">
        <f>I144+J144</f>
        <v>138600</v>
      </c>
      <c r="I144" s="10">
        <v>138600</v>
      </c>
      <c r="J144" s="64"/>
      <c r="K144" s="4"/>
    </row>
    <row r="145" spans="1:11" s="1" customFormat="1" ht="21" customHeight="1" x14ac:dyDescent="0.3">
      <c r="A145" s="4" t="s">
        <v>55</v>
      </c>
      <c r="B145" s="54" t="s">
        <v>244</v>
      </c>
      <c r="C145" s="57">
        <v>43551</v>
      </c>
      <c r="D145" s="57">
        <v>43552</v>
      </c>
      <c r="E145" s="54" t="s">
        <v>62</v>
      </c>
      <c r="F145" s="56" t="s">
        <v>246</v>
      </c>
      <c r="G145" s="4" t="s">
        <v>64</v>
      </c>
      <c r="H145" s="10">
        <f t="shared" ref="H145:H163" si="7">I145+J145</f>
        <v>93712</v>
      </c>
      <c r="I145" s="10">
        <v>93712</v>
      </c>
      <c r="J145" s="64"/>
      <c r="K145" s="4"/>
    </row>
    <row r="146" spans="1:11" s="1" customFormat="1" ht="21" customHeight="1" x14ac:dyDescent="0.3">
      <c r="A146" s="4" t="s">
        <v>55</v>
      </c>
      <c r="B146" s="54" t="s">
        <v>244</v>
      </c>
      <c r="C146" s="57">
        <v>43551</v>
      </c>
      <c r="D146" s="57">
        <v>43552</v>
      </c>
      <c r="E146" s="54" t="s">
        <v>62</v>
      </c>
      <c r="F146" s="56" t="s">
        <v>247</v>
      </c>
      <c r="G146" s="4" t="s">
        <v>76</v>
      </c>
      <c r="H146" s="10">
        <f t="shared" si="7"/>
        <v>42000</v>
      </c>
      <c r="I146" s="10">
        <v>42000</v>
      </c>
      <c r="J146" s="64"/>
      <c r="K146" s="4"/>
    </row>
    <row r="147" spans="1:11" s="1" customFormat="1" ht="21" customHeight="1" x14ac:dyDescent="0.3">
      <c r="A147" s="4" t="s">
        <v>55</v>
      </c>
      <c r="B147" s="54" t="s">
        <v>244</v>
      </c>
      <c r="C147" s="57">
        <v>43553</v>
      </c>
      <c r="D147" s="57">
        <v>43553</v>
      </c>
      <c r="E147" s="54" t="s">
        <v>62</v>
      </c>
      <c r="F147" s="56" t="s">
        <v>252</v>
      </c>
      <c r="G147" s="4" t="s">
        <v>211</v>
      </c>
      <c r="H147" s="10">
        <f t="shared" si="7"/>
        <v>179000</v>
      </c>
      <c r="I147" s="10">
        <v>179000</v>
      </c>
      <c r="J147" s="64"/>
      <c r="K147" s="4"/>
    </row>
    <row r="148" spans="1:11" s="1" customFormat="1" ht="21" customHeight="1" x14ac:dyDescent="0.3">
      <c r="A148" s="4" t="s">
        <v>55</v>
      </c>
      <c r="B148" s="54" t="s">
        <v>244</v>
      </c>
      <c r="C148" s="57">
        <v>43558</v>
      </c>
      <c r="D148" s="57">
        <v>43558</v>
      </c>
      <c r="E148" s="54" t="s">
        <v>62</v>
      </c>
      <c r="F148" s="56" t="s">
        <v>253</v>
      </c>
      <c r="G148" s="4" t="s">
        <v>211</v>
      </c>
      <c r="H148" s="10">
        <f t="shared" si="7"/>
        <v>266666</v>
      </c>
      <c r="I148" s="10">
        <v>266666</v>
      </c>
      <c r="J148" s="64"/>
      <c r="K148" s="4"/>
    </row>
    <row r="149" spans="1:11" s="1" customFormat="1" ht="21" customHeight="1" x14ac:dyDescent="0.3">
      <c r="A149" s="4" t="s">
        <v>55</v>
      </c>
      <c r="B149" s="54" t="s">
        <v>244</v>
      </c>
      <c r="C149" s="57">
        <v>43558</v>
      </c>
      <c r="D149" s="57">
        <v>43558</v>
      </c>
      <c r="E149" s="54" t="s">
        <v>62</v>
      </c>
      <c r="F149" s="56" t="s">
        <v>255</v>
      </c>
      <c r="G149" s="4" t="s">
        <v>254</v>
      </c>
      <c r="H149" s="10">
        <f t="shared" si="7"/>
        <v>302933</v>
      </c>
      <c r="I149" s="10">
        <v>302933</v>
      </c>
      <c r="J149" s="64"/>
      <c r="K149" s="4"/>
    </row>
    <row r="150" spans="1:11" s="1" customFormat="1" ht="21" customHeight="1" x14ac:dyDescent="0.3">
      <c r="A150" s="4" t="s">
        <v>55</v>
      </c>
      <c r="B150" s="54" t="s">
        <v>244</v>
      </c>
      <c r="C150" s="57">
        <v>43574</v>
      </c>
      <c r="D150" s="57">
        <v>43579</v>
      </c>
      <c r="E150" s="54" t="s">
        <v>62</v>
      </c>
      <c r="F150" s="56" t="s">
        <v>257</v>
      </c>
      <c r="G150" s="4" t="s">
        <v>64</v>
      </c>
      <c r="H150" s="10">
        <f t="shared" si="7"/>
        <v>307532</v>
      </c>
      <c r="I150" s="10">
        <v>307532</v>
      </c>
      <c r="J150" s="64"/>
      <c r="K150" s="4"/>
    </row>
    <row r="151" spans="1:11" s="1" customFormat="1" ht="21" customHeight="1" x14ac:dyDescent="0.3">
      <c r="A151" s="4" t="s">
        <v>55</v>
      </c>
      <c r="B151" s="54" t="s">
        <v>244</v>
      </c>
      <c r="C151" s="57">
        <v>43593</v>
      </c>
      <c r="D151" s="57">
        <v>43586</v>
      </c>
      <c r="E151" s="54" t="s">
        <v>62</v>
      </c>
      <c r="F151" s="56" t="s">
        <v>264</v>
      </c>
      <c r="G151" s="4" t="s">
        <v>211</v>
      </c>
      <c r="H151" s="10">
        <f t="shared" si="7"/>
        <v>262233</v>
      </c>
      <c r="I151" s="10">
        <v>262233</v>
      </c>
      <c r="J151" s="64"/>
      <c r="K151" s="4"/>
    </row>
    <row r="152" spans="1:11" s="1" customFormat="1" ht="21" customHeight="1" x14ac:dyDescent="0.3">
      <c r="A152" s="4" t="s">
        <v>55</v>
      </c>
      <c r="B152" s="54" t="s">
        <v>244</v>
      </c>
      <c r="C152" s="57">
        <v>43606</v>
      </c>
      <c r="D152" s="57">
        <v>43612</v>
      </c>
      <c r="E152" s="54" t="s">
        <v>62</v>
      </c>
      <c r="F152" s="56" t="s">
        <v>271</v>
      </c>
      <c r="G152" s="4" t="s">
        <v>272</v>
      </c>
      <c r="H152" s="10">
        <f t="shared" si="7"/>
        <v>305400</v>
      </c>
      <c r="I152" s="10">
        <v>305400</v>
      </c>
      <c r="J152" s="64"/>
      <c r="K152" s="4"/>
    </row>
    <row r="153" spans="1:11" s="1" customFormat="1" ht="21" customHeight="1" x14ac:dyDescent="0.3">
      <c r="A153" s="4" t="s">
        <v>55</v>
      </c>
      <c r="B153" s="54" t="s">
        <v>244</v>
      </c>
      <c r="C153" s="57">
        <v>43606</v>
      </c>
      <c r="D153" s="57">
        <v>43612</v>
      </c>
      <c r="E153" s="54" t="s">
        <v>62</v>
      </c>
      <c r="F153" s="56" t="s">
        <v>273</v>
      </c>
      <c r="G153" s="4" t="s">
        <v>79</v>
      </c>
      <c r="H153" s="10">
        <f t="shared" si="7"/>
        <v>235400</v>
      </c>
      <c r="I153" s="10">
        <f>235400</f>
        <v>235400</v>
      </c>
      <c r="J153" s="64"/>
      <c r="K153" s="4"/>
    </row>
    <row r="154" spans="1:11" s="1" customFormat="1" ht="21" customHeight="1" x14ac:dyDescent="0.3">
      <c r="A154" s="4" t="s">
        <v>55</v>
      </c>
      <c r="B154" s="54" t="s">
        <v>244</v>
      </c>
      <c r="C154" s="57">
        <v>43629</v>
      </c>
      <c r="D154" s="57">
        <v>43632</v>
      </c>
      <c r="E154" s="54" t="s">
        <v>62</v>
      </c>
      <c r="F154" s="56" t="s">
        <v>281</v>
      </c>
      <c r="G154" s="4" t="s">
        <v>76</v>
      </c>
      <c r="H154" s="10">
        <f t="shared" si="7"/>
        <v>298067</v>
      </c>
      <c r="I154" s="10">
        <f>305400-7333</f>
        <v>298067</v>
      </c>
      <c r="J154" s="64"/>
      <c r="K154" s="4"/>
    </row>
    <row r="155" spans="1:11" s="1" customFormat="1" ht="21" customHeight="1" x14ac:dyDescent="0.3">
      <c r="A155" s="4" t="s">
        <v>55</v>
      </c>
      <c r="B155" s="54" t="s">
        <v>244</v>
      </c>
      <c r="C155" s="57">
        <v>43629</v>
      </c>
      <c r="D155" s="57">
        <v>43632</v>
      </c>
      <c r="E155" s="54" t="s">
        <v>62</v>
      </c>
      <c r="F155" s="56" t="s">
        <v>284</v>
      </c>
      <c r="G155" s="4" t="s">
        <v>282</v>
      </c>
      <c r="H155" s="10">
        <f t="shared" si="7"/>
        <v>304167</v>
      </c>
      <c r="I155" s="10">
        <f>311500-7333</f>
        <v>304167</v>
      </c>
      <c r="J155" s="64"/>
      <c r="K155" s="4"/>
    </row>
    <row r="156" spans="1:11" s="1" customFormat="1" ht="21" customHeight="1" x14ac:dyDescent="0.3">
      <c r="A156" s="4" t="s">
        <v>55</v>
      </c>
      <c r="B156" s="54" t="s">
        <v>244</v>
      </c>
      <c r="C156" s="57">
        <v>43629</v>
      </c>
      <c r="D156" s="57">
        <v>43633</v>
      </c>
      <c r="E156" s="54" t="s">
        <v>62</v>
      </c>
      <c r="F156" s="56" t="s">
        <v>285</v>
      </c>
      <c r="G156" s="4" t="s">
        <v>283</v>
      </c>
      <c r="H156" s="10">
        <f t="shared" si="7"/>
        <v>228067</v>
      </c>
      <c r="I156" s="10">
        <f>235400-7333</f>
        <v>228067</v>
      </c>
      <c r="J156" s="64"/>
      <c r="K156" s="4"/>
    </row>
    <row r="157" spans="1:11" s="1" customFormat="1" ht="21" customHeight="1" x14ac:dyDescent="0.3">
      <c r="A157" s="4" t="s">
        <v>55</v>
      </c>
      <c r="B157" s="54" t="s">
        <v>244</v>
      </c>
      <c r="C157" s="57">
        <v>43629</v>
      </c>
      <c r="D157" s="57">
        <v>43633</v>
      </c>
      <c r="E157" s="54" t="s">
        <v>62</v>
      </c>
      <c r="F157" s="56" t="s">
        <v>286</v>
      </c>
      <c r="G157" s="4" t="s">
        <v>77</v>
      </c>
      <c r="H157" s="10">
        <f t="shared" si="7"/>
        <v>228067</v>
      </c>
      <c r="I157" s="10">
        <f>235400-7333</f>
        <v>228067</v>
      </c>
      <c r="J157" s="64"/>
      <c r="K157" s="4"/>
    </row>
    <row r="158" spans="1:11" s="1" customFormat="1" ht="21" customHeight="1" x14ac:dyDescent="0.3">
      <c r="A158" s="4" t="s">
        <v>55</v>
      </c>
      <c r="B158" s="54" t="s">
        <v>244</v>
      </c>
      <c r="C158" s="57">
        <v>43649</v>
      </c>
      <c r="D158" s="57">
        <v>43651</v>
      </c>
      <c r="E158" s="54" t="s">
        <v>62</v>
      </c>
      <c r="F158" s="56" t="s">
        <v>291</v>
      </c>
      <c r="G158" s="4" t="s">
        <v>292</v>
      </c>
      <c r="H158" s="10">
        <f t="shared" si="7"/>
        <v>135600</v>
      </c>
      <c r="I158" s="10">
        <v>135600</v>
      </c>
      <c r="J158" s="64"/>
      <c r="K158" s="4"/>
    </row>
    <row r="159" spans="1:11" s="1" customFormat="1" ht="21" customHeight="1" x14ac:dyDescent="0.3">
      <c r="A159" s="4" t="s">
        <v>55</v>
      </c>
      <c r="B159" s="54" t="s">
        <v>244</v>
      </c>
      <c r="C159" s="57">
        <v>43649</v>
      </c>
      <c r="D159" s="57">
        <v>43672</v>
      </c>
      <c r="E159" s="54" t="s">
        <v>62</v>
      </c>
      <c r="F159" s="56" t="s">
        <v>293</v>
      </c>
      <c r="G159" s="4" t="s">
        <v>292</v>
      </c>
      <c r="H159" s="10">
        <f t="shared" si="7"/>
        <v>129500</v>
      </c>
      <c r="I159" s="10">
        <v>129500</v>
      </c>
      <c r="J159" s="64"/>
      <c r="K159" s="4"/>
    </row>
    <row r="160" spans="1:11" s="1" customFormat="1" ht="21" customHeight="1" x14ac:dyDescent="0.3">
      <c r="A160" s="4" t="s">
        <v>55</v>
      </c>
      <c r="B160" s="54" t="s">
        <v>244</v>
      </c>
      <c r="C160" s="57">
        <v>43717</v>
      </c>
      <c r="D160" s="57">
        <v>43714</v>
      </c>
      <c r="E160" s="54" t="s">
        <v>62</v>
      </c>
      <c r="F160" s="56" t="s">
        <v>300</v>
      </c>
      <c r="G160" s="4" t="s">
        <v>64</v>
      </c>
      <c r="H160" s="10">
        <f t="shared" si="7"/>
        <v>267500</v>
      </c>
      <c r="I160" s="10">
        <v>267500</v>
      </c>
      <c r="J160" s="64"/>
      <c r="K160" s="4"/>
    </row>
    <row r="161" spans="1:12" s="1" customFormat="1" ht="21" customHeight="1" x14ac:dyDescent="0.3">
      <c r="A161" s="4" t="s">
        <v>55</v>
      </c>
      <c r="B161" s="54" t="s">
        <v>244</v>
      </c>
      <c r="C161" s="57">
        <v>43717</v>
      </c>
      <c r="D161" s="57">
        <v>43714</v>
      </c>
      <c r="E161" s="54" t="s">
        <v>62</v>
      </c>
      <c r="F161" s="56" t="s">
        <v>301</v>
      </c>
      <c r="G161" s="4" t="s">
        <v>223</v>
      </c>
      <c r="H161" s="10">
        <f t="shared" si="7"/>
        <v>104300</v>
      </c>
      <c r="I161" s="10">
        <v>104300</v>
      </c>
      <c r="J161" s="64"/>
      <c r="K161" s="4"/>
    </row>
    <row r="162" spans="1:12" s="1" customFormat="1" ht="21" customHeight="1" x14ac:dyDescent="0.3">
      <c r="A162" s="4" t="s">
        <v>55</v>
      </c>
      <c r="B162" s="54" t="s">
        <v>244</v>
      </c>
      <c r="C162" s="57">
        <v>43780</v>
      </c>
      <c r="D162" s="57">
        <v>43777</v>
      </c>
      <c r="E162" s="54" t="s">
        <v>62</v>
      </c>
      <c r="F162" s="56" t="s">
        <v>305</v>
      </c>
      <c r="G162" s="4" t="s">
        <v>211</v>
      </c>
      <c r="H162" s="10">
        <f t="shared" si="7"/>
        <v>147333</v>
      </c>
      <c r="I162" s="10">
        <v>147333</v>
      </c>
      <c r="J162" s="64"/>
      <c r="K162" s="4"/>
    </row>
    <row r="163" spans="1:12" s="1" customFormat="1" ht="21" customHeight="1" x14ac:dyDescent="0.3">
      <c r="A163" s="4" t="s">
        <v>55</v>
      </c>
      <c r="B163" s="54" t="s">
        <v>244</v>
      </c>
      <c r="C163" s="57">
        <v>43780</v>
      </c>
      <c r="D163" s="57">
        <v>43780</v>
      </c>
      <c r="E163" s="54" t="s">
        <v>62</v>
      </c>
      <c r="F163" s="56" t="s">
        <v>306</v>
      </c>
      <c r="G163" s="4" t="s">
        <v>211</v>
      </c>
      <c r="H163" s="10">
        <f t="shared" si="7"/>
        <v>138000</v>
      </c>
      <c r="I163" s="10">
        <v>138000</v>
      </c>
      <c r="J163" s="64"/>
      <c r="K163" s="4"/>
    </row>
    <row r="164" spans="1:12" s="1" customFormat="1" ht="21" customHeight="1" x14ac:dyDescent="0.3">
      <c r="A164" s="4" t="s">
        <v>55</v>
      </c>
      <c r="B164" s="54" t="s">
        <v>312</v>
      </c>
      <c r="C164" s="57">
        <v>43819</v>
      </c>
      <c r="D164" s="57">
        <v>43816</v>
      </c>
      <c r="E164" s="54" t="s">
        <v>309</v>
      </c>
      <c r="F164" s="56" t="s">
        <v>311</v>
      </c>
      <c r="G164" s="4" t="s">
        <v>310</v>
      </c>
      <c r="H164" s="10">
        <v>73571</v>
      </c>
      <c r="I164" s="10">
        <v>66883</v>
      </c>
      <c r="J164" s="64">
        <v>6688</v>
      </c>
      <c r="K164" s="4"/>
      <c r="L164" s="55"/>
    </row>
    <row r="165" spans="1:12" x14ac:dyDescent="0.3">
      <c r="A165" s="48" t="s">
        <v>35</v>
      </c>
      <c r="B165" s="49"/>
      <c r="C165" s="49"/>
      <c r="D165" s="49"/>
      <c r="E165" s="49"/>
      <c r="F165" s="49"/>
      <c r="G165" s="50"/>
      <c r="H165" s="25">
        <f>SUM(H119:H164)</f>
        <v>10000000</v>
      </c>
      <c r="I165" s="25">
        <f>SUM(I119:I164)</f>
        <v>9473860</v>
      </c>
      <c r="J165" s="25">
        <f>SUM(J119:J164)</f>
        <v>526140</v>
      </c>
      <c r="K165" s="26"/>
      <c r="L165" s="60"/>
    </row>
    <row r="166" spans="1:12" x14ac:dyDescent="0.3">
      <c r="A166" s="51" t="s">
        <v>49</v>
      </c>
      <c r="B166" s="52"/>
      <c r="C166" s="52"/>
      <c r="D166" s="52"/>
      <c r="E166" s="52"/>
      <c r="F166" s="52"/>
      <c r="G166" s="53"/>
      <c r="H166" s="24">
        <f>SUM(H65,H70,H118,H165)</f>
        <v>74999999.599999994</v>
      </c>
      <c r="I166" s="24">
        <f>SUM(I65,I70,I118,I165)</f>
        <v>73013109</v>
      </c>
      <c r="J166" s="24">
        <f>SUM(J65,J70,J118,J165)</f>
        <v>1986890.6</v>
      </c>
      <c r="K166" s="12"/>
      <c r="L166" s="60"/>
    </row>
  </sheetData>
  <mergeCells count="15">
    <mergeCell ref="A65:G65"/>
    <mergeCell ref="A70:G70"/>
    <mergeCell ref="A118:G118"/>
    <mergeCell ref="A165:G165"/>
    <mergeCell ref="A166:G166"/>
    <mergeCell ref="A2:K2"/>
    <mergeCell ref="G4:G5"/>
    <mergeCell ref="K4:K5"/>
    <mergeCell ref="A4:A5"/>
    <mergeCell ref="B4:B5"/>
    <mergeCell ref="C4:C5"/>
    <mergeCell ref="D4:D5"/>
    <mergeCell ref="E4:E5"/>
    <mergeCell ref="F4:F5"/>
    <mergeCell ref="H4:J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집행실적 대비표</vt:lpstr>
      <vt:lpstr>비목별 집행현황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205</cp:lastModifiedBy>
  <dcterms:created xsi:type="dcterms:W3CDTF">2018-10-25T02:09:33Z</dcterms:created>
  <dcterms:modified xsi:type="dcterms:W3CDTF">2020-01-21T06:51:29Z</dcterms:modified>
</cp:coreProperties>
</file>